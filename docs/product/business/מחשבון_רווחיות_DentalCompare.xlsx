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מודל 2026" sheetId="1" state="visible" r:id="rId1"/>
    <sheet xmlns:r="http://schemas.openxmlformats.org/officeDocument/2006/relationships" name="מחשבון" sheetId="2" state="visible" r:id="rId2"/>
    <sheet xmlns:r="http://schemas.openxmlformats.org/officeDocument/2006/relationships" name="תרחישים" sheetId="3" state="visible" r:id="rId3"/>
    <sheet xmlns:r="http://schemas.openxmlformats.org/officeDocument/2006/relationships" name="שנה ראשונה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\ \₪"/>
    <numFmt numFmtId="165" formatCode="0.0%"/>
    <numFmt numFmtId="166" formatCode="#,##0\ \₪;\(#,##0\)\ \₪;\-"/>
  </numFmts>
  <fonts count="14">
    <font>
      <name val="Arial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808080"/>
      <sz val="11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0000FF"/>
      <sz val="11"/>
    </font>
    <font>
      <name val="Arial"/>
      <i val="1"/>
      <color rgb="FF808080"/>
      <sz val="9"/>
    </font>
    <font>
      <name val="Arial"/>
      <b val="1"/>
      <sz val="11"/>
    </font>
    <font>
      <name val="Arial"/>
      <sz val="10"/>
    </font>
    <font>
      <b val="1"/>
      <sz val="14"/>
    </font>
    <font>
      <i val="1"/>
      <color rgb="00666666"/>
    </font>
    <font>
      <b val="1"/>
    </font>
    <font>
      <b val="1"/>
      <color rgb="001F4FD1"/>
    </font>
    <font/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166" fontId="7" fillId="6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/>
    </xf>
    <xf numFmtId="166" fontId="4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3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/>
    </xf>
    <xf numFmtId="0" fontId="8" fillId="5" borderId="0" applyAlignment="1" pivotButton="0" quotePrefix="0" xfId="0">
      <alignment horizontal="right" vertical="top" wrapText="1"/>
    </xf>
    <xf numFmtId="0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9" fontId="12" fillId="0" borderId="0" pivotButton="0" quotePrefix="0" xfId="0"/>
    <xf numFmtId="0" fontId="13" fillId="0" borderId="0" pivotButton="0" quotePrefix="0" xfId="0"/>
    <xf numFmtId="2" fontId="0" fillId="0" borderId="0" pivotButton="0" quotePrefix="0" xfId="0"/>
    <xf numFmtId="165" fontId="12" fillId="0" borderId="0" pivotButton="0" quotePrefix="0" xfId="0"/>
    <xf numFmtId="3" fontId="0" fillId="0" borderId="0" pivotButton="0" quotePrefix="0" xfId="0"/>
    <xf numFmtId="0" fontId="11" fillId="7" borderId="0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rightToLeft="1" workbookViewId="0">
      <selection activeCell="A1" sqref="A1"/>
    </sheetView>
  </sheetViews>
  <sheetFormatPr baseColWidth="8" defaultRowHeight="15"/>
  <cols>
    <col width="46" customWidth="1" style="29" min="1" max="1"/>
    <col width="16" customWidth="1" style="29" min="2" max="2"/>
    <col width="44" customWidth="1" style="29" min="3" max="3"/>
    <col width="16" customWidth="1" style="29" min="4" max="4"/>
    <col width="16" customWidth="1" style="29" min="5" max="5"/>
    <col width="16" customWidth="1" style="29" min="6" max="6"/>
    <col width="16" customWidth="1" style="29" min="7" max="7"/>
    <col width="16" customWidth="1" style="29" min="8" max="8"/>
    <col width="16" customWidth="1" style="29" min="9" max="9"/>
    <col width="16" customWidth="1" style="29" min="10" max="10"/>
  </cols>
  <sheetData>
    <row r="1">
      <c r="A1" s="34" t="inlineStr">
        <is>
          <t>מודל רווחיות — DentalCompare (ספטמבר 2026)</t>
        </is>
      </c>
    </row>
    <row r="2">
      <c r="A2" s="35" t="inlineStr">
        <is>
          <t>שנה רק ערכים כחולים. כל השאר מחושב. סכומים בשקלים, לפני מע"מ, לחודש.</t>
        </is>
      </c>
    </row>
    <row r="4">
      <c r="A4" s="36" t="inlineStr">
        <is>
          <t>📥 מחירים (כמו שמוגדרים היום באתר)</t>
        </is>
      </c>
    </row>
    <row r="5">
      <c r="A5" s="37" t="inlineStr">
        <is>
          <t>ישראל — מנוי חודשי (₪)</t>
        </is>
      </c>
      <c r="B5" s="37" t="n">
        <v>299</v>
      </c>
      <c r="C5" s="35" t="inlineStr">
        <is>
          <t>מדרגה בסיסית, עד 10 בקשות בחודש</t>
        </is>
      </c>
    </row>
    <row r="6">
      <c r="A6" s="37" t="inlineStr">
        <is>
          <t>ישראל — מנוי שנתי (₪)</t>
        </is>
      </c>
      <c r="B6" s="37" t="n">
        <v>1990</v>
      </c>
      <c r="C6" s="35" t="inlineStr">
        <is>
          <t>המלצה: ₪2,990 (חודשיים מתנה במקום כמעט חצי הנחה)</t>
        </is>
      </c>
    </row>
    <row r="7">
      <c r="A7" s="37" t="inlineStr">
        <is>
          <t>חו"ל — מנוי חודשי ($)</t>
        </is>
      </c>
      <c r="B7" s="37" t="n">
        <v>79</v>
      </c>
    </row>
    <row r="8">
      <c r="A8" s="37" t="inlineStr">
        <is>
          <t>חו"ל — מנוי שנתי ($)</t>
        </is>
      </c>
      <c r="B8" s="37" t="n">
        <v>530</v>
      </c>
    </row>
    <row r="9">
      <c r="A9" s="37" t="inlineStr">
        <is>
          <t>שער דולר (₪)</t>
        </is>
      </c>
      <c r="B9" s="37" t="n">
        <v>3.7</v>
      </c>
      <c r="C9" s="35" t="inlineStr">
        <is>
          <t>לעדכן לפי השער</t>
        </is>
      </c>
    </row>
    <row r="10">
      <c r="A10" s="37" t="inlineStr">
        <is>
          <t>אחוז מרפאות שבוחרות מנוי שנתי</t>
        </is>
      </c>
      <c r="B10" s="38" t="n">
        <v>0.3</v>
      </c>
      <c r="C10" s="35" t="inlineStr">
        <is>
          <t>הערכה</t>
        </is>
      </c>
    </row>
    <row r="12">
      <c r="A12" s="36" t="inlineStr">
        <is>
          <t>🎁 מבצע מייסדים</t>
        </is>
      </c>
    </row>
    <row r="13">
      <c r="A13" s="37" t="inlineStr">
        <is>
          <t>מקומות מייסדים</t>
        </is>
      </c>
      <c r="B13" s="37" t="n">
        <v>50</v>
      </c>
    </row>
    <row r="14">
      <c r="A14" s="39" t="inlineStr">
        <is>
          <t>מחיר מייסדים כחלק מהמחיר הרגיל</t>
        </is>
      </c>
      <c r="B14" s="40">
        <f>2/3</f>
        <v/>
      </c>
      <c r="C14" s="35" t="inlineStr">
        <is>
          <t>שליש הנחה: ₪299 → ₪199</t>
        </is>
      </c>
    </row>
    <row r="15">
      <c r="A15" s="37" t="inlineStr">
        <is>
          <t>חודשי הנחה</t>
        </is>
      </c>
      <c r="B15" s="37" t="n">
        <v>12</v>
      </c>
    </row>
    <row r="17">
      <c r="A17" s="36" t="inlineStr">
        <is>
          <t>💳 עמלות סליקה</t>
        </is>
      </c>
    </row>
    <row r="18">
      <c r="A18" s="37" t="inlineStr">
        <is>
          <t>Stripe — אחוז מכל חיוב (חו"ל)</t>
        </is>
      </c>
      <c r="B18" s="41" t="n">
        <v>0.039</v>
      </c>
      <c r="C18" s="35" t="inlineStr">
        <is>
          <t>הערכה לכרטיס בינלאומי; לבדוק בחשבון Stripe</t>
        </is>
      </c>
    </row>
    <row r="19">
      <c r="A19" s="37" t="inlineStr">
        <is>
          <t>Stripe — קבוע לחיוב ($)</t>
        </is>
      </c>
      <c r="B19" s="37" t="n">
        <v>0.3</v>
      </c>
    </row>
    <row r="21">
      <c r="A21" s="36" t="inlineStr">
        <is>
          <t>🏢 הוצאות קבועות בחודש (₪)</t>
        </is>
      </c>
    </row>
    <row r="22">
      <c r="A22" s="37" t="inlineStr">
        <is>
          <t>פרסום ממומן</t>
        </is>
      </c>
      <c r="B22" s="37" t="n">
        <v>2000</v>
      </c>
    </row>
    <row r="23">
      <c r="A23" s="37" t="inlineStr">
        <is>
          <t>תשתית (שרתים, מסד נתונים, מייל, דומיין)</t>
        </is>
      </c>
      <c r="B23" s="37" t="n">
        <v>200</v>
      </c>
    </row>
    <row r="24">
      <c r="A24" s="37" t="inlineStr">
        <is>
          <t>PayPlus — תשלום חודשי קבוע</t>
        </is>
      </c>
      <c r="B24" s="37" t="n">
        <v>193.9</v>
      </c>
    </row>
    <row r="25">
      <c r="A25" s="37" t="inlineStr">
        <is>
          <t>חשבוניות</t>
        </is>
      </c>
      <c r="B25" s="37" t="n">
        <v>30</v>
      </c>
    </row>
    <row r="26">
      <c r="A26" s="36" t="inlineStr">
        <is>
          <t>סה"כ הוצאות קבועות</t>
        </is>
      </c>
      <c r="B26" s="42">
        <f>B22+B23+B24+B25</f>
        <v/>
      </c>
    </row>
    <row r="28">
      <c r="A28" s="36" t="inlineStr">
        <is>
          <t>📊 הכנסה נטו ממרפאה אחת בחודש (₪)</t>
        </is>
      </c>
    </row>
    <row r="29">
      <c r="A29" s="39" t="inlineStr">
        <is>
          <t>ישראל — מחיר רגיל</t>
        </is>
      </c>
      <c r="B29" s="42">
        <f>(1-B10)*B5+B10*B6/12</f>
        <v/>
      </c>
    </row>
    <row r="30">
      <c r="A30" s="39" t="inlineStr">
        <is>
          <t>ישראל — מחיר מייסדים</t>
        </is>
      </c>
      <c r="B30" s="42">
        <f>B29*B14</f>
        <v/>
      </c>
    </row>
    <row r="31">
      <c r="A31" s="39" t="inlineStr">
        <is>
          <t>חו"ל — מחיר רגיל, אחרי עמלת Stripe</t>
        </is>
      </c>
      <c r="B31" s="42">
        <f>((1-B10)*(B7*(1-B18)-B19)+B10*(B8*(1-B18)-B19)/12)*B9</f>
        <v/>
      </c>
    </row>
    <row r="32">
      <c r="A32" s="39" t="inlineStr">
        <is>
          <t>חו"ל — מחיר מייסדים</t>
        </is>
      </c>
      <c r="B32" s="42">
        <f>B31*B14</f>
        <v/>
      </c>
    </row>
    <row r="34">
      <c r="A34" s="36" t="inlineStr">
        <is>
          <t>⚖️ נקודת איזון</t>
        </is>
      </c>
    </row>
    <row r="35">
      <c r="A35" s="36" t="inlineStr">
        <is>
          <t>מרפאות ישראליות במחיר רגיל לכיסוי ההוצאות</t>
        </is>
      </c>
      <c r="B35">
        <f>ROUNDUP(B26/B29,0)</f>
        <v/>
      </c>
    </row>
    <row r="36">
      <c r="A36" s="36" t="inlineStr">
        <is>
          <t>מרפאות ישראליות במחיר מייסדים לכיסוי ההוצאות</t>
        </is>
      </c>
      <c r="B36">
        <f>ROUNDUP(B26/B30,0)</f>
        <v/>
      </c>
    </row>
    <row r="38">
      <c r="A38" s="36" t="inlineStr">
        <is>
          <t>📈 תרחישים</t>
        </is>
      </c>
    </row>
    <row r="39">
      <c r="A39" s="35" t="inlineStr">
        <is>
          <t>מרפאות במסלול החינמי לא מכניסות כסף, אבל הן המאגר שממנו מגיעים המשדרגים. מקומות המייסדים מתחלקים יחסית בין ישראל לחו"ל.</t>
        </is>
      </c>
    </row>
    <row r="40">
      <c r="A40" s="43" t="inlineStr">
        <is>
          <t>תרחיש</t>
        </is>
      </c>
      <c r="B40" s="43" t="inlineStr">
        <is>
          <t>ישראל בתשלום</t>
        </is>
      </c>
      <c r="C40" s="43" t="inlineStr">
        <is>
          <t>חו"ל בתשלום</t>
        </is>
      </c>
      <c r="D40" s="43" t="inlineStr">
        <is>
          <t>מרפאות חינם</t>
        </is>
      </c>
      <c r="E40" s="43" t="inlineStr">
        <is>
          <t>חלק המייסדים</t>
        </is>
      </c>
      <c r="F40" s="43" t="inlineStr">
        <is>
          <t>הכנסה בחודש — שנה 1</t>
        </is>
      </c>
      <c r="G40" s="43" t="inlineStr">
        <is>
          <t>רווח בחודש — שנה 1</t>
        </is>
      </c>
      <c r="H40" s="43" t="inlineStr">
        <is>
          <t>הכנסה בחודש — אחרי המבצע</t>
        </is>
      </c>
      <c r="I40" s="43" t="inlineStr">
        <is>
          <t>רווח בחודש — אחרי המבצע</t>
        </is>
      </c>
      <c r="J40" s="43" t="inlineStr">
        <is>
          <t>רווח שנתי — אחרי המבצע</t>
        </is>
      </c>
    </row>
    <row r="41">
      <c r="A41" t="inlineStr">
        <is>
          <t>התחלה</t>
        </is>
      </c>
      <c r="B41" s="37" t="n">
        <v>5</v>
      </c>
      <c r="C41" s="37" t="n">
        <v>3</v>
      </c>
      <c r="D41" s="37" t="n">
        <v>10</v>
      </c>
      <c r="E41" s="44">
        <f>MIN(1,$B$13/MAX(1,B41+C41))</f>
        <v/>
      </c>
      <c r="F41" s="42">
        <f>B41*($B$29*(1-E41)+$B$30*E41)+C41*($B$31*(1-E41)+$B$32*E41)</f>
        <v/>
      </c>
      <c r="G41" s="42">
        <f>F41-$B$26</f>
        <v/>
      </c>
      <c r="H41" s="42">
        <f>B41*$B$29+C41*$B$31</f>
        <v/>
      </c>
      <c r="I41" s="42">
        <f>H41-$B$26</f>
        <v/>
      </c>
      <c r="J41" s="42">
        <f>I41*12</f>
        <v/>
      </c>
    </row>
    <row r="42">
      <c r="A42" t="inlineStr">
        <is>
          <t>שלב המייסדים</t>
        </is>
      </c>
      <c r="B42" s="37" t="n">
        <v>20</v>
      </c>
      <c r="C42" s="37" t="n">
        <v>10</v>
      </c>
      <c r="D42" s="37" t="n">
        <v>30</v>
      </c>
      <c r="E42" s="44">
        <f>MIN(1,$B$13/MAX(1,B42+C42))</f>
        <v/>
      </c>
      <c r="F42" s="42">
        <f>B42*($B$29*(1-E42)+$B$30*E42)+C42*($B$31*(1-E42)+$B$32*E42)</f>
        <v/>
      </c>
      <c r="G42" s="42">
        <f>F42-$B$26</f>
        <v/>
      </c>
      <c r="H42" s="42">
        <f>B42*$B$29+C42*$B$31</f>
        <v/>
      </c>
      <c r="I42" s="42">
        <f>H42-$B$26</f>
        <v/>
      </c>
      <c r="J42" s="42">
        <f>I42*12</f>
        <v/>
      </c>
    </row>
    <row r="43">
      <c r="A43" t="inlineStr">
        <is>
          <t>סוף שנה 1</t>
        </is>
      </c>
      <c r="B43" s="37" t="n">
        <v>40</v>
      </c>
      <c r="C43" s="37" t="n">
        <v>25</v>
      </c>
      <c r="D43" s="37" t="n">
        <v>60</v>
      </c>
      <c r="E43" s="44">
        <f>MIN(1,$B$13/MAX(1,B43+C43))</f>
        <v/>
      </c>
      <c r="F43" s="42">
        <f>B43*($B$29*(1-E43)+$B$30*E43)+C43*($B$31*(1-E43)+$B$32*E43)</f>
        <v/>
      </c>
      <c r="G43" s="42">
        <f>F43-$B$26</f>
        <v/>
      </c>
      <c r="H43" s="42">
        <f>B43*$B$29+C43*$B$31</f>
        <v/>
      </c>
      <c r="I43" s="42">
        <f>H43-$B$26</f>
        <v/>
      </c>
      <c r="J43" s="42">
        <f>I43*12</f>
        <v/>
      </c>
    </row>
    <row r="44">
      <c r="A44" t="inlineStr">
        <is>
          <t>צמיחה</t>
        </is>
      </c>
      <c r="B44" s="37" t="n">
        <v>60</v>
      </c>
      <c r="C44" s="37" t="n">
        <v>40</v>
      </c>
      <c r="D44" s="37" t="n">
        <v>100</v>
      </c>
      <c r="E44" s="44">
        <f>MIN(1,$B$13/MAX(1,B44+C44))</f>
        <v/>
      </c>
      <c r="F44" s="42">
        <f>B44*($B$29*(1-E44)+$B$30*E44)+C44*($B$31*(1-E44)+$B$32*E44)</f>
        <v/>
      </c>
      <c r="G44" s="42">
        <f>F44-$B$26</f>
        <v/>
      </c>
      <c r="H44" s="42">
        <f>B44*$B$29+C44*$B$31</f>
        <v/>
      </c>
      <c r="I44" s="42">
        <f>H44-$B$26</f>
        <v/>
      </c>
      <c r="J44" s="42">
        <f>I44*12</f>
        <v/>
      </c>
    </row>
    <row r="45">
      <c r="A45" t="inlineStr">
        <is>
          <t>יעד המחשבון הישן</t>
        </is>
      </c>
      <c r="B45" s="37" t="n">
        <v>100</v>
      </c>
      <c r="C45" s="37" t="n">
        <v>50</v>
      </c>
      <c r="D45" s="37" t="n">
        <v>150</v>
      </c>
      <c r="E45" s="44">
        <f>MIN(1,$B$13/MAX(1,B45+C45))</f>
        <v/>
      </c>
      <c r="F45" s="42">
        <f>B45*($B$29*(1-E45)+$B$30*E45)+C45*($B$31*(1-E45)+$B$32*E45)</f>
        <v/>
      </c>
      <c r="G45" s="42">
        <f>F45-$B$26</f>
        <v/>
      </c>
      <c r="H45" s="42">
        <f>B45*$B$29+C45*$B$31</f>
        <v/>
      </c>
      <c r="I45" s="42">
        <f>H45-$B$26</f>
        <v/>
      </c>
      <c r="J45" s="42">
        <f>I45*12</f>
        <v/>
      </c>
    </row>
    <row r="47">
      <c r="A47" s="35" t="inlineStr">
        <is>
          <t>הערות: (1) ההוצאות הקבועות לקוחות מהמחשבון הקודם. (2) עמלת Stripe היא הערכה. (3) הכנסה ממרפאה בודדת לא תלויה במספר הבקשות שהיא מקבלת, אבל מרפאה שלא מקבלת בקשות תבטל — כדי ש-30 מרפאות ירגישו ערך צריך בערך 100 בקשות מטופלים בחודש.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rightToLeft="1" workbookViewId="0">
      <selection activeCell="A46" sqref="A46"/>
    </sheetView>
  </sheetViews>
  <sheetFormatPr baseColWidth="8" defaultRowHeight="14.25"/>
  <cols>
    <col width="36.875" bestFit="1" customWidth="1" style="29" min="1" max="1"/>
    <col width="16" customWidth="1" style="29" min="2" max="3"/>
    <col width="24" customWidth="1" style="29" min="4" max="4"/>
  </cols>
  <sheetData>
    <row r="1" ht="30" customHeight="1" s="29">
      <c r="A1" s="28" t="inlineStr">
        <is>
          <t>מחשבון רווחיות — DentalCompare</t>
        </is>
      </c>
    </row>
    <row r="2">
      <c r="A2" s="31" t="inlineStr">
        <is>
          <t>שנה רק את הערכים הכחולים. כל השאר מחושב אוטומטית.</t>
        </is>
      </c>
    </row>
    <row r="3" ht="15" customHeight="1" s="29">
      <c r="A3" s="30" t="inlineStr">
        <is>
          <t>📥 קלט — פרמטרים</t>
        </is>
      </c>
    </row>
    <row r="4" ht="15" customHeight="1" s="29">
      <c r="A4" s="1" t="inlineStr">
        <is>
          <t>מספר מרפאות</t>
        </is>
      </c>
      <c r="B4" s="2" t="n">
        <v>100</v>
      </c>
    </row>
    <row r="5" ht="15" customHeight="1" s="29">
      <c r="A5" s="1" t="inlineStr">
        <is>
          <t>מחיר חודשי למרפאה</t>
        </is>
      </c>
      <c r="B5" s="3" t="n">
        <v>299</v>
      </c>
    </row>
    <row r="6" ht="15" customHeight="1" s="29">
      <c r="A6" s="1" t="inlineStr">
        <is>
          <t>מע"מ</t>
        </is>
      </c>
      <c r="B6" s="4" t="n">
        <v>0.18</v>
      </c>
    </row>
    <row r="7" ht="15" customHeight="1" s="29">
      <c r="A7" s="1" t="inlineStr">
        <is>
          <t>תקציב פרסום ממומן חודשי</t>
        </is>
      </c>
      <c r="B7" s="3" t="n">
        <v>2000</v>
      </c>
    </row>
    <row r="8" ht="15" customHeight="1" s="29">
      <c r="A8" s="1" t="inlineStr">
        <is>
          <t>עלות תשתית חודשית (hosting+DB+דומיין+מייל)</t>
        </is>
      </c>
      <c r="B8" s="3" t="n">
        <v>200</v>
      </c>
    </row>
    <row r="9" ht="15" customHeight="1" s="29">
      <c r="A9" s="1" t="inlineStr">
        <is>
          <t>PayPlus — עלות חשבוניות (עד 100 מסמכים)</t>
        </is>
      </c>
      <c r="B9" s="3" t="n">
        <v>30</v>
      </c>
      <c r="D9" s="5" t="inlineStr">
        <is>
          <t>Invoice4U כולל 100 מסמכים בבסיס — בלי תוספת</t>
        </is>
      </c>
    </row>
    <row r="10"/>
    <row r="11" ht="15" customHeight="1" s="29">
      <c r="A11" s="30" t="inlineStr">
        <is>
          <t>💳 הנחות ספקי סליקה</t>
        </is>
      </c>
    </row>
    <row r="12" ht="15" customHeight="1" s="29">
      <c r="A12" s="1" t="inlineStr">
        <is>
          <t>Invoice4U — עמלת סליקה</t>
        </is>
      </c>
      <c r="B12" s="4" t="n">
        <v>0.008999999999999999</v>
      </c>
      <c r="D12" s="5" t="inlineStr">
        <is>
          <t>מדרגות Invoice4U: עד 100=55, עד 200=67, עד 500=102</t>
        </is>
      </c>
    </row>
    <row r="13" ht="15" customHeight="1" s="29">
      <c r="A13" s="1" t="inlineStr">
        <is>
          <t>PayPlus — תשלום חודשי קבוע</t>
        </is>
      </c>
      <c r="B13" s="3" t="n">
        <v>193.9</v>
      </c>
    </row>
    <row r="14" ht="15" customHeight="1" s="29">
      <c r="A14" s="1" t="inlineStr">
        <is>
          <t>PayPlus — דמי הקמה (חד פעמי)</t>
        </is>
      </c>
      <c r="B14" s="3" t="n">
        <v>250</v>
      </c>
    </row>
    <row r="15"/>
    <row r="16" ht="15" customHeight="1" s="29">
      <c r="A16" s="30" t="inlineStr">
        <is>
          <t>📊 הכנסות</t>
        </is>
      </c>
    </row>
    <row r="17" ht="15" customHeight="1" s="29">
      <c r="A17" s="1" t="inlineStr">
        <is>
          <t>הכנסה חודשית</t>
        </is>
      </c>
      <c r="B17" s="6">
        <f>B4*B5</f>
        <v/>
      </c>
    </row>
    <row r="18">
      <c r="A18" s="1" t="inlineStr">
        <is>
          <t>הכנסה שנתית</t>
        </is>
      </c>
      <c r="B18" s="7">
        <f>B17*12</f>
        <v/>
      </c>
    </row>
    <row r="19">
      <c r="A19" s="1" t="inlineStr">
        <is>
          <t>נפח מחויב בכרטיס (כולל מע"מ)</t>
        </is>
      </c>
      <c r="B19" s="7">
        <f>B4*B5*(1+B6)</f>
        <v/>
      </c>
    </row>
    <row r="20"/>
    <row r="21" ht="15" customHeight="1" s="29">
      <c r="A21" s="30" t="inlineStr">
        <is>
          <t>💳 השוואת עלות סליקה</t>
        </is>
      </c>
    </row>
    <row r="22" ht="15" customHeight="1" s="29">
      <c r="A22" s="8" t="inlineStr">
        <is>
          <t>רכיב</t>
        </is>
      </c>
      <c r="B22" s="9" t="inlineStr">
        <is>
          <t>Invoice4U</t>
        </is>
      </c>
      <c r="C22" s="9" t="inlineStr">
        <is>
          <t>PayPlus</t>
        </is>
      </c>
    </row>
    <row r="23">
      <c r="A23" s="1" t="inlineStr">
        <is>
          <t>בסיס / קבוע חודשי</t>
        </is>
      </c>
      <c r="B23" s="7">
        <f>IF(B4&lt;=100,55,IF(B4&lt;=200,67,102))</f>
        <v/>
      </c>
      <c r="C23" s="7">
        <f>B13</f>
        <v/>
      </c>
    </row>
    <row r="24">
      <c r="A24" s="1" t="inlineStr">
        <is>
          <t>עמלת סליקה</t>
        </is>
      </c>
      <c r="B24" s="7">
        <f>B19*B12</f>
        <v/>
      </c>
      <c r="C24" s="7" t="n">
        <v>0</v>
      </c>
    </row>
    <row r="25" ht="15" customHeight="1" s="29">
      <c r="A25" s="10" t="inlineStr">
        <is>
          <t>סה"כ סליקה חודשי</t>
        </is>
      </c>
      <c r="B25" s="6">
        <f>B23+B24</f>
        <v/>
      </c>
      <c r="C25" s="6">
        <f>C23+C24</f>
        <v/>
      </c>
    </row>
    <row r="26"/>
    <row r="27" ht="15" customHeight="1" s="29">
      <c r="A27" s="30" t="inlineStr">
        <is>
          <t>💰 רווחיות חודשית לפי ספק</t>
        </is>
      </c>
    </row>
    <row r="28" ht="15" customHeight="1" s="29">
      <c r="A28" s="11" t="n"/>
      <c r="B28" s="9" t="inlineStr">
        <is>
          <t>Invoice4U</t>
        </is>
      </c>
      <c r="C28" s="9" t="inlineStr">
        <is>
          <t>PayPlus</t>
        </is>
      </c>
    </row>
    <row r="29">
      <c r="A29" s="1" t="inlineStr">
        <is>
          <t>הכנסה</t>
        </is>
      </c>
      <c r="B29" s="7">
        <f>B17</f>
        <v/>
      </c>
      <c r="C29" s="7">
        <f>B17</f>
        <v/>
      </c>
    </row>
    <row r="30">
      <c r="A30" s="1" t="inlineStr">
        <is>
          <t>(−) עלות סליקה</t>
        </is>
      </c>
      <c r="B30" s="7">
        <f>B25</f>
        <v/>
      </c>
      <c r="C30" s="7">
        <f>C25</f>
        <v/>
      </c>
    </row>
    <row r="31">
      <c r="A31" s="1" t="inlineStr">
        <is>
          <t>(−) תשתית</t>
        </is>
      </c>
      <c r="B31" s="7">
        <f>B8</f>
        <v/>
      </c>
      <c r="C31" s="7">
        <f>B8</f>
        <v/>
      </c>
    </row>
    <row r="32">
      <c r="A32" s="1" t="inlineStr">
        <is>
          <t>(−) חשבוניות</t>
        </is>
      </c>
      <c r="B32" s="7" t="n">
        <v>0</v>
      </c>
      <c r="C32" s="7">
        <f>B9</f>
        <v/>
      </c>
      <c r="D32" s="5" t="inlineStr">
        <is>
          <t>Invoice4U: חשבוניות כלולות בבסיס</t>
        </is>
      </c>
    </row>
    <row r="33">
      <c r="A33" s="1" t="inlineStr">
        <is>
          <t>(−) פרסום ממומן</t>
        </is>
      </c>
      <c r="B33" s="7">
        <f>B7</f>
        <v/>
      </c>
      <c r="C33" s="7">
        <f>B7</f>
        <v/>
      </c>
    </row>
    <row r="34" ht="15" customHeight="1" s="29">
      <c r="A34" s="10" t="inlineStr">
        <is>
          <t>סה"כ עלויות</t>
        </is>
      </c>
      <c r="B34" s="12">
        <f>SUM(B30:B33)</f>
        <v/>
      </c>
      <c r="C34" s="12">
        <f>SUM(C30:C33)</f>
        <v/>
      </c>
    </row>
    <row r="35" ht="15" customHeight="1" s="29">
      <c r="A35" s="13" t="inlineStr">
        <is>
          <t>רווח חודשי</t>
        </is>
      </c>
      <c r="B35" s="14">
        <f>B29-B34</f>
        <v/>
      </c>
      <c r="C35" s="14">
        <f>C29-C34</f>
        <v/>
      </c>
    </row>
    <row r="36" ht="15" customHeight="1" s="29">
      <c r="A36" s="10" t="inlineStr">
        <is>
          <t>רווח שנתי</t>
        </is>
      </c>
      <c r="B36" s="12">
        <f>B35*12</f>
        <v/>
      </c>
      <c r="C36" s="12">
        <f>C35*12</f>
        <v/>
      </c>
    </row>
    <row r="37" ht="15" customHeight="1" s="29">
      <c r="A37" s="10" t="inlineStr">
        <is>
          <t>שולי רווח</t>
        </is>
      </c>
      <c r="B37" s="15">
        <f>B35/B29</f>
        <v/>
      </c>
      <c r="C37" s="15">
        <f>C35/C29</f>
        <v/>
      </c>
    </row>
    <row r="38"/>
    <row r="39" ht="15" customHeight="1" s="29">
      <c r="A39" s="30" t="inlineStr">
        <is>
          <t>✅ המלצה</t>
        </is>
      </c>
    </row>
    <row r="40" ht="15" customHeight="1" s="29">
      <c r="A40" s="1" t="inlineStr">
        <is>
          <t>ספק מומלץ (הרווחי יותר)</t>
        </is>
      </c>
      <c r="B40" s="16">
        <f>IF(B35&gt;=C35,"Invoice4U","PayPlus")</f>
        <v/>
      </c>
    </row>
    <row r="41" ht="15" customHeight="1" s="29">
      <c r="A41" s="1" t="inlineStr">
        <is>
          <t>רווח חודשי מקסימלי</t>
        </is>
      </c>
      <c r="B41" s="14">
        <f>MAX(B35,C35)</f>
        <v/>
      </c>
    </row>
    <row r="42" ht="15" customHeight="1" s="29">
      <c r="A42" s="1" t="inlineStr">
        <is>
          <t>רווח שנתי מקסימלי</t>
        </is>
      </c>
      <c r="B42" s="14">
        <f>MAX(B36,C36)</f>
        <v/>
      </c>
    </row>
    <row r="43"/>
    <row r="44" ht="15" customHeight="1" s="29">
      <c r="A44" s="30" t="inlineStr">
        <is>
          <t>⚖️ נקודת איזון (תרחיש PayPlus)</t>
        </is>
      </c>
    </row>
    <row r="45">
      <c r="A45" s="1" t="inlineStr">
        <is>
          <t>הוצאות קבועות חודשיות</t>
        </is>
      </c>
      <c r="B45" s="7">
        <f>B13+B7+B8+B9</f>
        <v/>
      </c>
      <c r="D45" s="5" t="inlineStr">
        <is>
          <t>מעבר למספר זה — כל מרפאה היא רווח נקי</t>
        </is>
      </c>
    </row>
    <row r="46" ht="15" customHeight="1" s="29">
      <c r="A46" s="1" t="inlineStr">
        <is>
          <t>מרפאות נדרשות לכיסוי ההוצאות</t>
        </is>
      </c>
      <c r="B46" s="17">
        <f>ROUNDUP(B45/B5,0)</f>
        <v/>
      </c>
    </row>
    <row r="47"/>
    <row r="48" ht="15" customHeight="1" s="29">
      <c r="A48" s="30" t="inlineStr">
        <is>
          <t>ℹ️ הערה על מע"מ</t>
        </is>
      </c>
    </row>
    <row r="49" ht="39.95" customHeight="1" s="29">
      <c r="A49" s="32" t="inlineStr">
        <is>
          <t>כל הסכומים נטו (ללא מע"מ). מחירי PayPlus ו-Invoice4U הם +מע"מ, אך כעוסק מורשה אתה מקזז את מע"מ התשומות — ולכן העלות הכלכלית האמיתית היא הסכום ללא מע"מ (כפי שמוצג). מבחינת תזרים בלבד: תשלם את המע"מ מראש ותקבל אותו בחזרה.</t>
        </is>
      </c>
    </row>
    <row r="50"/>
  </sheetData>
  <mergeCells count="11">
    <mergeCell ref="A1:D1"/>
    <mergeCell ref="A27:D27"/>
    <mergeCell ref="A48:D48"/>
    <mergeCell ref="A3:D3"/>
    <mergeCell ref="A21:D21"/>
    <mergeCell ref="A39:D39"/>
    <mergeCell ref="A16:D16"/>
    <mergeCell ref="A11:D11"/>
    <mergeCell ref="A2:D2"/>
    <mergeCell ref="A49:D50"/>
    <mergeCell ref="A44:D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rightToLeft="1" workbookViewId="0">
      <selection activeCell="B18" sqref="B18"/>
    </sheetView>
  </sheetViews>
  <sheetFormatPr baseColWidth="8" defaultRowHeight="14.25"/>
  <cols>
    <col width="14" customWidth="1" style="29" min="1" max="1"/>
    <col width="18" customWidth="1" style="29" min="2" max="4"/>
    <col width="16" customWidth="1" style="29" min="5" max="6"/>
    <col width="14" customWidth="1" style="29" min="7" max="7"/>
  </cols>
  <sheetData>
    <row r="1" ht="27.95" customHeight="1" s="29">
      <c r="A1" s="28" t="inlineStr">
        <is>
          <t>תרחישים לפי מספר מרפאות</t>
        </is>
      </c>
    </row>
    <row r="2">
      <c r="A2" s="31" t="inlineStr">
        <is>
          <t>מבוסס על המחיר והעלויות מגיליון 'מחשבון'. משווה רווח חודשי בין הספקים.</t>
        </is>
      </c>
    </row>
    <row r="3" ht="15" customHeight="1" s="29">
      <c r="A3" s="18" t="inlineStr">
        <is>
          <t>מרפאות</t>
        </is>
      </c>
      <c r="B3" s="18" t="inlineStr">
        <is>
          <t>הכנסה חודשית</t>
        </is>
      </c>
      <c r="C3" s="18" t="inlineStr">
        <is>
          <t>רווח PayPlus</t>
        </is>
      </c>
      <c r="D3" s="18" t="inlineStr">
        <is>
          <t>רווח Invoice4U</t>
        </is>
      </c>
      <c r="E3" s="18" t="inlineStr">
        <is>
          <t>ספק זול יותר</t>
        </is>
      </c>
      <c r="F3" s="18" t="inlineStr">
        <is>
          <t>רווח שנתי (מיטבי)</t>
        </is>
      </c>
      <c r="G3" s="18" t="inlineStr">
        <is>
          <t>שולי רווח</t>
        </is>
      </c>
    </row>
    <row r="4" ht="15" customHeight="1" s="29">
      <c r="A4" s="19" t="n">
        <v>8</v>
      </c>
      <c r="B4" s="20">
        <f>A4*מחשבון!$B$5</f>
        <v/>
      </c>
      <c r="C4" s="20">
        <f>B4-מחשבון!$B$13-(מחשבון!$B$7+מחשבון!$B$8+מחשבון!$B$9)</f>
        <v/>
      </c>
      <c r="D4" s="20">
        <f>B4-(IF(A4&lt;=100,55,IF(A4&lt;=200,67,102))+A4*מחשבון!$B$5*(1+מחשבון!$B$6)*מחשבון!$B$12)-(מחשבון!$B$7+מחשבון!$B$8)</f>
        <v/>
      </c>
      <c r="E4" s="21">
        <f>IF(C4&gt;=D4,"PayPlus","Invoice4U")</f>
        <v/>
      </c>
      <c r="F4" s="20">
        <f>MAX(C4,D4)*12</f>
        <v/>
      </c>
      <c r="G4" s="22">
        <f>MAX(C4,D4)/B4</f>
        <v/>
      </c>
    </row>
    <row r="5" ht="15" customHeight="1" s="29">
      <c r="A5" s="19" t="n">
        <v>25</v>
      </c>
      <c r="B5" s="20">
        <f>A5*מחשבון!$B$5</f>
        <v/>
      </c>
      <c r="C5" s="20">
        <f>B5-מחשבון!$B$13-(מחשבון!$B$7+מחשבון!$B$8+מחשבון!$B$9)</f>
        <v/>
      </c>
      <c r="D5" s="20">
        <f>B5-(IF(A5&lt;=100,55,IF(A5&lt;=200,67,102))+A5*מחשבון!$B$5*(1+מחשבון!$B$6)*מחשבון!$B$12)-(מחשבון!$B$7+מחשבון!$B$8)</f>
        <v/>
      </c>
      <c r="E5" s="21">
        <f>IF(C5&gt;=D5,"PayPlus","Invoice4U")</f>
        <v/>
      </c>
      <c r="F5" s="20">
        <f>MAX(C5,D5)*12</f>
        <v/>
      </c>
      <c r="G5" s="22">
        <f>MAX(C5,D5)/B5</f>
        <v/>
      </c>
    </row>
    <row r="6" ht="15" customHeight="1" s="29">
      <c r="A6" s="19" t="n">
        <v>50</v>
      </c>
      <c r="B6" s="20">
        <f>A6*מחשבון!$B$5</f>
        <v/>
      </c>
      <c r="C6" s="20">
        <f>B6-מחשבון!$B$13-(מחשבון!$B$7+מחשבון!$B$8+מחשבון!$B$9)</f>
        <v/>
      </c>
      <c r="D6" s="20">
        <f>B6-(IF(A6&lt;=100,55,IF(A6&lt;=200,67,102))+A6*מחשבון!$B$5*(1+מחשבון!$B$6)*מחשבון!$B$12)-(מחשבון!$B$7+מחשבון!$B$8)</f>
        <v/>
      </c>
      <c r="E6" s="21">
        <f>IF(C6&gt;=D6,"PayPlus","Invoice4U")</f>
        <v/>
      </c>
      <c r="F6" s="20">
        <f>MAX(C6,D6)*12</f>
        <v/>
      </c>
      <c r="G6" s="22">
        <f>MAX(C6,D6)/B6</f>
        <v/>
      </c>
    </row>
    <row r="7" ht="15" customHeight="1" s="29">
      <c r="A7" s="19" t="n">
        <v>75</v>
      </c>
      <c r="B7" s="20">
        <f>A7*מחשבון!$B$5</f>
        <v/>
      </c>
      <c r="C7" s="20">
        <f>B7-מחשבון!$B$13-(מחשבון!$B$7+מחשבון!$B$8+מחשבון!$B$9)</f>
        <v/>
      </c>
      <c r="D7" s="20">
        <f>B7-(IF(A7&lt;=100,55,IF(A7&lt;=200,67,102))+A7*מחשבון!$B$5*(1+מחשבון!$B$6)*מחשבון!$B$12)-(מחשבון!$B$7+מחשבון!$B$8)</f>
        <v/>
      </c>
      <c r="E7" s="21">
        <f>IF(C7&gt;=D7,"PayPlus","Invoice4U")</f>
        <v/>
      </c>
      <c r="F7" s="20">
        <f>MAX(C7,D7)*12</f>
        <v/>
      </c>
      <c r="G7" s="22">
        <f>MAX(C7,D7)/B7</f>
        <v/>
      </c>
    </row>
    <row r="8" ht="15" customHeight="1" s="29">
      <c r="A8" s="19" t="n">
        <v>100</v>
      </c>
      <c r="B8" s="20">
        <f>A8*מחשבון!$B$5</f>
        <v/>
      </c>
      <c r="C8" s="20">
        <f>B8-מחשבון!$B$13-(מחשבון!$B$7+מחשבון!$B$8+מחשבון!$B$9)</f>
        <v/>
      </c>
      <c r="D8" s="20">
        <f>B8-(IF(A8&lt;=100,55,IF(A8&lt;=200,67,102))+A8*מחשבון!$B$5*(1+מחשבון!$B$6)*מחשבון!$B$12)-(מחשבון!$B$7+מחשבון!$B$8)</f>
        <v/>
      </c>
      <c r="E8" s="21">
        <f>IF(C8&gt;=D8,"PayPlus","Invoice4U")</f>
        <v/>
      </c>
      <c r="F8" s="20">
        <f>MAX(C8,D8)*12</f>
        <v/>
      </c>
      <c r="G8" s="22">
        <f>MAX(C8,D8)/B8</f>
        <v/>
      </c>
    </row>
    <row r="9" ht="15" customHeight="1" s="29">
      <c r="A9" s="19" t="n">
        <v>150</v>
      </c>
      <c r="B9" s="20">
        <f>A9*מחשבון!$B$5</f>
        <v/>
      </c>
      <c r="C9" s="20">
        <f>B9-מחשבון!$B$13-(מחשבון!$B$7+מחשבון!$B$8+מחשבון!$B$9)</f>
        <v/>
      </c>
      <c r="D9" s="20">
        <f>B9-(IF(A9&lt;=100,55,IF(A9&lt;=200,67,102))+A9*מחשבון!$B$5*(1+מחשבון!$B$6)*מחשבון!$B$12)-(מחשבון!$B$7+מחשבון!$B$8)</f>
        <v/>
      </c>
      <c r="E9" s="21">
        <f>IF(C9&gt;=D9,"PayPlus","Invoice4U")</f>
        <v/>
      </c>
      <c r="F9" s="20">
        <f>MAX(C9,D9)*12</f>
        <v/>
      </c>
      <c r="G9" s="22">
        <f>MAX(C9,D9)/B9</f>
        <v/>
      </c>
    </row>
    <row r="10" ht="15" customHeight="1" s="29">
      <c r="A10" s="19" t="n">
        <v>200</v>
      </c>
      <c r="B10" s="20">
        <f>A10*מחשבון!$B$5</f>
        <v/>
      </c>
      <c r="C10" s="20">
        <f>B10-מחשבון!$B$13-(מחשבון!$B$7+מחשבון!$B$8+מחשבון!$B$9)</f>
        <v/>
      </c>
      <c r="D10" s="20">
        <f>B10-(IF(A10&lt;=100,55,IF(A10&lt;=200,67,102))+A10*מחשבון!$B$5*(1+מחשבון!$B$6)*מחשבון!$B$12)-(מחשבון!$B$7+מחשבון!$B$8)</f>
        <v/>
      </c>
      <c r="E10" s="21">
        <f>IF(C10&gt;=D10,"PayPlus","Invoice4U")</f>
        <v/>
      </c>
      <c r="F10" s="20">
        <f>MAX(C10,D10)*12</f>
        <v/>
      </c>
      <c r="G10" s="22">
        <f>MAX(C10,D10)/B10</f>
        <v/>
      </c>
    </row>
    <row r="11" ht="15" customHeight="1" s="29">
      <c r="A11" s="19" t="n">
        <v>300</v>
      </c>
      <c r="B11" s="20">
        <f>A11*מחשבון!$B$5</f>
        <v/>
      </c>
      <c r="C11" s="20">
        <f>B11-מחשבון!$B$13-(מחשבון!$B$7+מחשבון!$B$8+מחשבון!$B$9)</f>
        <v/>
      </c>
      <c r="D11" s="20">
        <f>B11-(IF(A11&lt;=100,55,IF(A11&lt;=200,67,102))+A11*מחשבון!$B$5*(1+מחשבון!$B$6)*מחשבון!$B$12)-(מחשבון!$B$7+מחשבון!$B$8)</f>
        <v/>
      </c>
      <c r="E11" s="21">
        <f>IF(C11&gt;=D11,"PayPlus","Invoice4U")</f>
        <v/>
      </c>
      <c r="F11" s="20">
        <f>MAX(C11,D11)*12</f>
        <v/>
      </c>
      <c r="G11" s="22">
        <f>MAX(C11,D11)/B11</f>
        <v/>
      </c>
    </row>
    <row r="12" ht="15" customHeight="1" s="29">
      <c r="A12" s="19" t="n">
        <v>500</v>
      </c>
      <c r="B12" s="20">
        <f>A12*מחשבון!$B$5</f>
        <v/>
      </c>
      <c r="C12" s="20">
        <f>B12-מחשבון!$B$13-(מחשבון!$B$7+מחשבון!$B$8+מחשבון!$B$9)</f>
        <v/>
      </c>
      <c r="D12" s="20">
        <f>B12-(IF(A12&lt;=100,55,IF(A12&lt;=200,67,102))+A12*מחשבון!$B$5*(1+מחשבון!$B$6)*מחשבון!$B$12)-(מחשבון!$B$7+מחשבון!$B$8)</f>
        <v/>
      </c>
      <c r="E12" s="21">
        <f>IF(C12&gt;=D12,"PayPlus","Invoice4U")</f>
        <v/>
      </c>
      <c r="F12" s="20">
        <f>MAX(C12,D12)*12</f>
        <v/>
      </c>
      <c r="G12" s="22">
        <f>MAX(C12,D12)/B12</f>
        <v/>
      </c>
    </row>
    <row r="14">
      <c r="A14" s="33" t="inlineStr">
        <is>
          <t>🔵 כחול = ערך שניתן לשנות   |   PayPlus מוגבל ל-1,000 עסקאות/חודש בתעריף הקבוע</t>
        </is>
      </c>
    </row>
  </sheetData>
  <mergeCells count="3">
    <mergeCell ref="A14:G14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rightToLeft="1" tabSelected="1" workbookViewId="0">
      <selection activeCell="G19" sqref="G19"/>
    </sheetView>
  </sheetViews>
  <sheetFormatPr baseColWidth="8" defaultRowHeight="14.25"/>
  <cols>
    <col width="10" customWidth="1" style="29" min="1" max="1"/>
    <col width="16" customWidth="1" style="29" min="2" max="3"/>
    <col width="18" customWidth="1" style="29" min="4" max="6"/>
    <col width="20" customWidth="1" style="29" min="7" max="7"/>
  </cols>
  <sheetData>
    <row r="1" ht="27.95" customHeight="1" s="29">
      <c r="A1" s="28" t="inlineStr">
        <is>
          <t>שנה ראשונה — הצטרפות הדרגתית ותזרים מצטבר (PayPlus)</t>
        </is>
      </c>
    </row>
    <row r="2">
      <c r="A2" s="31" t="inlineStr">
        <is>
          <t>שנה את 'מרפאות חדשות' (כחול) לפי קצב הגיוס הצפוי. הסכום בשורת הסיכום הוא סך המצטרפות בשנה.</t>
        </is>
      </c>
    </row>
    <row r="3" ht="15" customHeight="1" s="29">
      <c r="A3" s="18" t="inlineStr">
        <is>
          <t>חודש</t>
        </is>
      </c>
      <c r="B3" s="18" t="inlineStr">
        <is>
          <t>מרפאות חדשות</t>
        </is>
      </c>
      <c r="C3" s="18" t="inlineStr">
        <is>
          <t>מרפאות פעילות</t>
        </is>
      </c>
      <c r="D3" s="18" t="inlineStr">
        <is>
          <t>הכנסה חודשית</t>
        </is>
      </c>
      <c r="E3" s="18" t="inlineStr">
        <is>
          <t>עלויות חודשיות</t>
        </is>
      </c>
      <c r="F3" s="18" t="inlineStr">
        <is>
          <t>רווח חודשי</t>
        </is>
      </c>
      <c r="G3" s="18" t="inlineStr">
        <is>
          <t>תזרים מצטבר</t>
        </is>
      </c>
    </row>
    <row r="4" ht="15" customHeight="1" s="29">
      <c r="A4" s="23" t="n">
        <v>1</v>
      </c>
      <c r="B4" s="19" t="n">
        <v>4</v>
      </c>
      <c r="C4" s="24">
        <f>SUM($B$4:B4)</f>
        <v/>
      </c>
      <c r="D4" s="20">
        <f>C4*מחשבון!$B$5</f>
        <v/>
      </c>
      <c r="E4" s="20">
        <f>מחשבון!$B$13+מחשבון!$B$9+מחשבון!$B$8+מחשבון!$B$7+מחשבון!$B$14</f>
        <v/>
      </c>
      <c r="F4" s="20">
        <f>D4-E4</f>
        <v/>
      </c>
      <c r="G4" s="20">
        <f>SUM($F$4:F4)</f>
        <v/>
      </c>
    </row>
    <row r="5" ht="15" customHeight="1" s="29">
      <c r="A5" s="23" t="n">
        <v>2</v>
      </c>
      <c r="B5" s="19" t="n">
        <v>5</v>
      </c>
      <c r="C5" s="24">
        <f>SUM($B$4:B5)</f>
        <v/>
      </c>
      <c r="D5" s="20">
        <f>C5*מחשבון!$B$5</f>
        <v/>
      </c>
      <c r="E5" s="20">
        <f>מחשבון!$B$13+מחשבון!$B$9+מחשבון!$B$8+מחשבון!$B$7</f>
        <v/>
      </c>
      <c r="F5" s="20">
        <f>D5-E5</f>
        <v/>
      </c>
      <c r="G5" s="20">
        <f>SUM($F$4:F5)</f>
        <v/>
      </c>
    </row>
    <row r="6" ht="15" customHeight="1" s="29">
      <c r="A6" s="23" t="n">
        <v>3</v>
      </c>
      <c r="B6" s="19" t="n">
        <v>6</v>
      </c>
      <c r="C6" s="24">
        <f>SUM($B$4:B6)</f>
        <v/>
      </c>
      <c r="D6" s="20">
        <f>C6*מחשבון!$B$5</f>
        <v/>
      </c>
      <c r="E6" s="20">
        <f>מחשבון!$B$13+מחשבון!$B$9+מחשבון!$B$8+מחשבון!$B$7</f>
        <v/>
      </c>
      <c r="F6" s="20">
        <f>D6-E6</f>
        <v/>
      </c>
      <c r="G6" s="20">
        <f>SUM($F$4:F6)</f>
        <v/>
      </c>
    </row>
    <row r="7" ht="15" customHeight="1" s="29">
      <c r="A7" s="23" t="n">
        <v>4</v>
      </c>
      <c r="B7" s="19" t="n">
        <v>7</v>
      </c>
      <c r="C7" s="24">
        <f>SUM($B$4:B7)</f>
        <v/>
      </c>
      <c r="D7" s="20">
        <f>C7*מחשבון!$B$5</f>
        <v/>
      </c>
      <c r="E7" s="20">
        <f>מחשבון!$B$13+מחשבון!$B$9+מחשבון!$B$8+מחשבון!$B$7</f>
        <v/>
      </c>
      <c r="F7" s="20">
        <f>D7-E7</f>
        <v/>
      </c>
      <c r="G7" s="20">
        <f>SUM($F$4:F7)</f>
        <v/>
      </c>
    </row>
    <row r="8" ht="15" customHeight="1" s="29">
      <c r="A8" s="23" t="n">
        <v>5</v>
      </c>
      <c r="B8" s="19" t="n">
        <v>8</v>
      </c>
      <c r="C8" s="24">
        <f>SUM($B$4:B8)</f>
        <v/>
      </c>
      <c r="D8" s="20">
        <f>C8*מחשבון!$B$5</f>
        <v/>
      </c>
      <c r="E8" s="20">
        <f>מחשבון!$B$13+מחשבון!$B$9+מחשבון!$B$8+מחשבון!$B$7</f>
        <v/>
      </c>
      <c r="F8" s="20">
        <f>D8-E8</f>
        <v/>
      </c>
      <c r="G8" s="20">
        <f>SUM($F$4:F8)</f>
        <v/>
      </c>
    </row>
    <row r="9" ht="15" customHeight="1" s="29">
      <c r="A9" s="23" t="n">
        <v>6</v>
      </c>
      <c r="B9" s="19" t="n">
        <v>9</v>
      </c>
      <c r="C9" s="24">
        <f>SUM($B$4:B9)</f>
        <v/>
      </c>
      <c r="D9" s="20">
        <f>C9*מחשבון!$B$5</f>
        <v/>
      </c>
      <c r="E9" s="20">
        <f>מחשבון!$B$13+מחשבון!$B$9+מחשבון!$B$8+מחשבון!$B$7</f>
        <v/>
      </c>
      <c r="F9" s="20">
        <f>D9-E9</f>
        <v/>
      </c>
      <c r="G9" s="20">
        <f>SUM($F$4:F9)</f>
        <v/>
      </c>
    </row>
    <row r="10" ht="15" customHeight="1" s="29">
      <c r="A10" s="23" t="n">
        <v>7</v>
      </c>
      <c r="B10" s="19" t="n">
        <v>9</v>
      </c>
      <c r="C10" s="24">
        <f>SUM($B$4:B10)</f>
        <v/>
      </c>
      <c r="D10" s="20">
        <f>C10*מחשבון!$B$5</f>
        <v/>
      </c>
      <c r="E10" s="20">
        <f>מחשבון!$B$13+מחשבון!$B$9+מחשבון!$B$8+מחשבון!$B$7</f>
        <v/>
      </c>
      <c r="F10" s="20">
        <f>D10-E10</f>
        <v/>
      </c>
      <c r="G10" s="20">
        <f>SUM($F$4:F10)</f>
        <v/>
      </c>
    </row>
    <row r="11" ht="15" customHeight="1" s="29">
      <c r="A11" s="23" t="n">
        <v>8</v>
      </c>
      <c r="B11" s="19" t="n">
        <v>10</v>
      </c>
      <c r="C11" s="24">
        <f>SUM($B$4:B11)</f>
        <v/>
      </c>
      <c r="D11" s="20">
        <f>C11*מחשבון!$B$5</f>
        <v/>
      </c>
      <c r="E11" s="20">
        <f>מחשבון!$B$13+מחשבון!$B$9+מחשבון!$B$8+מחשבון!$B$7</f>
        <v/>
      </c>
      <c r="F11" s="20">
        <f>D11-E11</f>
        <v/>
      </c>
      <c r="G11" s="20">
        <f>SUM($F$4:F11)</f>
        <v/>
      </c>
    </row>
    <row r="12" ht="15" customHeight="1" s="29">
      <c r="A12" s="23" t="n">
        <v>9</v>
      </c>
      <c r="B12" s="19" t="n">
        <v>10</v>
      </c>
      <c r="C12" s="24">
        <f>SUM($B$4:B12)</f>
        <v/>
      </c>
      <c r="D12" s="20">
        <f>C12*מחשבון!$B$5</f>
        <v/>
      </c>
      <c r="E12" s="20">
        <f>מחשבון!$B$13+מחשבון!$B$9+מחשבון!$B$8+מחשבון!$B$7</f>
        <v/>
      </c>
      <c r="F12" s="20">
        <f>D12-E12</f>
        <v/>
      </c>
      <c r="G12" s="20">
        <f>SUM($F$4:F12)</f>
        <v/>
      </c>
    </row>
    <row r="13" ht="15" customHeight="1" s="29">
      <c r="A13" s="23" t="n">
        <v>10</v>
      </c>
      <c r="B13" s="19" t="n">
        <v>10</v>
      </c>
      <c r="C13" s="24">
        <f>SUM($B$4:B13)</f>
        <v/>
      </c>
      <c r="D13" s="20">
        <f>C13*מחשבון!$B$5</f>
        <v/>
      </c>
      <c r="E13" s="20">
        <f>מחשבון!$B$13+מחשבון!$B$9+מחשבון!$B$8+מחשבון!$B$7</f>
        <v/>
      </c>
      <c r="F13" s="20">
        <f>D13-E13</f>
        <v/>
      </c>
      <c r="G13" s="20">
        <f>SUM($F$4:F13)</f>
        <v/>
      </c>
    </row>
    <row r="14" ht="15" customHeight="1" s="29">
      <c r="A14" s="23" t="n">
        <v>11</v>
      </c>
      <c r="B14" s="19" t="n">
        <v>11</v>
      </c>
      <c r="C14" s="24">
        <f>SUM($B$4:B14)</f>
        <v/>
      </c>
      <c r="D14" s="20">
        <f>C14*מחשבון!$B$5</f>
        <v/>
      </c>
      <c r="E14" s="20">
        <f>מחשבון!$B$13+מחשבון!$B$9+מחשבון!$B$8+מחשבון!$B$7</f>
        <v/>
      </c>
      <c r="F14" s="20">
        <f>D14-E14</f>
        <v/>
      </c>
      <c r="G14" s="20">
        <f>SUM($F$4:F14)</f>
        <v/>
      </c>
    </row>
    <row r="15" ht="15" customHeight="1" s="29">
      <c r="A15" s="23" t="n">
        <v>12</v>
      </c>
      <c r="B15" s="19" t="n">
        <v>11</v>
      </c>
      <c r="C15" s="24">
        <f>SUM($B$4:B15)</f>
        <v/>
      </c>
      <c r="D15" s="20">
        <f>C15*מחשבון!$B$5</f>
        <v/>
      </c>
      <c r="E15" s="20">
        <f>מחשבון!$B$13+מחשבון!$B$9+מחשבון!$B$8+מחשבון!$B$7</f>
        <v/>
      </c>
      <c r="F15" s="20">
        <f>D15-E15</f>
        <v/>
      </c>
      <c r="G15" s="20">
        <f>SUM($F$4:F15)</f>
        <v/>
      </c>
    </row>
    <row r="16" ht="15" customHeight="1" s="29">
      <c r="A16" s="25" t="inlineStr">
        <is>
          <t>סה"כ</t>
        </is>
      </c>
      <c r="B16" s="26">
        <f>SUM(B4:B15)</f>
        <v/>
      </c>
      <c r="C16" s="26">
        <f>C15</f>
        <v/>
      </c>
      <c r="D16" s="27">
        <f>SUM(D4:D15)</f>
        <v/>
      </c>
      <c r="E16" s="27">
        <f>SUM(E4:E15)</f>
        <v/>
      </c>
      <c r="F16" s="27">
        <f>SUM(F4:F15)</f>
        <v/>
      </c>
      <c r="G16" s="27">
        <f>G15</f>
        <v/>
      </c>
    </row>
    <row r="18">
      <c r="A18" s="33" t="inlineStr">
        <is>
          <t>כל הסכומים נטו (ללא מע"מ). דמי הקמה (250) נכללים בעלויות חודש 1. תזרים מצטבר = רווח מצטבר מתחילת השנה.</t>
        </is>
      </c>
    </row>
  </sheetData>
  <mergeCells count="3">
    <mergeCell ref="A2:G2"/>
    <mergeCell ref="A1:G1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2026-06-28T12:08:08Z</dcterms:created>
  <dcterms:modified xmlns:dcterms="http://purl.org/dc/terms/" xmlns:xsi="http://www.w3.org/2001/XMLSchema-instance" xsi:type="dcterms:W3CDTF">2026-09-29T17:31:35Z</dcterms:modified>
  <cp:lastModifiedBy>Eden BUCHRIS</cp:lastModifiedBy>
</cp:coreProperties>
</file>