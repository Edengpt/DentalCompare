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e9ae8c5533360e0/Desktop/PRD – DentalCompare/"/>
    </mc:Choice>
  </mc:AlternateContent>
  <xr:revisionPtr revIDLastSave="9" documentId="11_9169E4D66027B2EF3A49046DFC3EE8DC974D30F7" xr6:coauthVersionLast="47" xr6:coauthVersionMax="47" xr10:uidLastSave="{0C46AFE1-8912-4A81-8612-63250BF7EEF7}"/>
  <bookViews>
    <workbookView xWindow="-120" yWindow="-120" windowWidth="29040" windowHeight="15720" activeTab="2" xr2:uid="{00000000-000D-0000-FFFF-FFFF00000000}"/>
  </bookViews>
  <sheets>
    <sheet name="מחשבון" sheetId="1" r:id="rId1"/>
    <sheet name="תרחישים" sheetId="2" r:id="rId2"/>
    <sheet name="שנה ראשונ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45" i="1"/>
  <c r="B16" i="3"/>
  <c r="E15" i="3"/>
  <c r="C15" i="3"/>
  <c r="C16" i="3" s="1"/>
  <c r="E14" i="3"/>
  <c r="C14" i="3"/>
  <c r="D14" i="3" s="1"/>
  <c r="F14" i="3" s="1"/>
  <c r="E13" i="3"/>
  <c r="C13" i="3"/>
  <c r="D13" i="3" s="1"/>
  <c r="E12" i="3"/>
  <c r="C12" i="3"/>
  <c r="D12" i="3" s="1"/>
  <c r="E11" i="3"/>
  <c r="C11" i="3"/>
  <c r="D11" i="3" s="1"/>
  <c r="F11" i="3" s="1"/>
  <c r="E10" i="3"/>
  <c r="C10" i="3"/>
  <c r="D10" i="3" s="1"/>
  <c r="E9" i="3"/>
  <c r="C9" i="3"/>
  <c r="D9" i="3" s="1"/>
  <c r="E8" i="3"/>
  <c r="C8" i="3"/>
  <c r="D8" i="3" s="1"/>
  <c r="E7" i="3"/>
  <c r="C7" i="3"/>
  <c r="D7" i="3" s="1"/>
  <c r="E6" i="3"/>
  <c r="C6" i="3"/>
  <c r="D6" i="3" s="1"/>
  <c r="E5" i="3"/>
  <c r="C5" i="3"/>
  <c r="D5" i="3" s="1"/>
  <c r="E4" i="3"/>
  <c r="C4" i="3"/>
  <c r="D4" i="3" s="1"/>
  <c r="B12" i="2"/>
  <c r="C12" i="2" s="1"/>
  <c r="B11" i="2"/>
  <c r="B10" i="2"/>
  <c r="D10" i="2" s="1"/>
  <c r="B9" i="2"/>
  <c r="C9" i="2" s="1"/>
  <c r="B8" i="2"/>
  <c r="D8" i="2" s="1"/>
  <c r="B7" i="2"/>
  <c r="C7" i="2" s="1"/>
  <c r="C6" i="2"/>
  <c r="B6" i="2"/>
  <c r="D6" i="2" s="1"/>
  <c r="B5" i="2"/>
  <c r="D5" i="2" s="1"/>
  <c r="D4" i="2"/>
  <c r="B46" i="1"/>
  <c r="C33" i="1"/>
  <c r="B33" i="1"/>
  <c r="C32" i="1"/>
  <c r="C31" i="1"/>
  <c r="B31" i="1"/>
  <c r="C23" i="1"/>
  <c r="C25" i="1" s="1"/>
  <c r="C30" i="1" s="1"/>
  <c r="B23" i="1"/>
  <c r="B19" i="1"/>
  <c r="B24" i="1" s="1"/>
  <c r="B17" i="1"/>
  <c r="B18" i="1" s="1"/>
  <c r="F8" i="3" l="1"/>
  <c r="F9" i="3"/>
  <c r="C34" i="1"/>
  <c r="F13" i="3"/>
  <c r="E16" i="3"/>
  <c r="F12" i="3"/>
  <c r="B29" i="1"/>
  <c r="D9" i="2"/>
  <c r="E9" i="2" s="1"/>
  <c r="C29" i="1"/>
  <c r="C35" i="1" s="1"/>
  <c r="D11" i="2"/>
  <c r="C10" i="2"/>
  <c r="E10" i="2" s="1"/>
  <c r="C11" i="2"/>
  <c r="F11" i="2" s="1"/>
  <c r="F6" i="2"/>
  <c r="F10" i="3"/>
  <c r="G9" i="2"/>
  <c r="F5" i="3"/>
  <c r="F7" i="3"/>
  <c r="F6" i="3"/>
  <c r="F4" i="3"/>
  <c r="B25" i="1"/>
  <c r="D7" i="2"/>
  <c r="F7" i="2" s="1"/>
  <c r="C4" i="2"/>
  <c r="C8" i="2"/>
  <c r="C5" i="2"/>
  <c r="G6" i="2"/>
  <c r="D12" i="2"/>
  <c r="G12" i="2" s="1"/>
  <c r="D15" i="3"/>
  <c r="F15" i="3" s="1"/>
  <c r="E6" i="2"/>
  <c r="B30" i="1" l="1"/>
  <c r="B34" i="1" s="1"/>
  <c r="B35" i="1" s="1"/>
  <c r="F10" i="2"/>
  <c r="E12" i="2"/>
  <c r="G7" i="2"/>
  <c r="F12" i="2"/>
  <c r="G10" i="2"/>
  <c r="G11" i="2"/>
  <c r="F9" i="2"/>
  <c r="E11" i="2"/>
  <c r="E5" i="2"/>
  <c r="F5" i="2"/>
  <c r="F8" i="2"/>
  <c r="E8" i="2"/>
  <c r="G8" i="2"/>
  <c r="F4" i="2"/>
  <c r="E4" i="2"/>
  <c r="G5" i="2"/>
  <c r="E7" i="2"/>
  <c r="F16" i="3"/>
  <c r="G12" i="3"/>
  <c r="G8" i="3"/>
  <c r="G11" i="3"/>
  <c r="G15" i="3"/>
  <c r="G16" i="3" s="1"/>
  <c r="G10" i="3"/>
  <c r="G6" i="3"/>
  <c r="G14" i="3"/>
  <c r="G4" i="3"/>
  <c r="G7" i="3"/>
  <c r="G9" i="3"/>
  <c r="G5" i="3"/>
  <c r="G13" i="3"/>
  <c r="G4" i="2"/>
  <c r="C37" i="1"/>
  <c r="C36" i="1"/>
  <c r="D16" i="3"/>
  <c r="B40" i="1" l="1"/>
  <c r="B36" i="1"/>
  <c r="B41" i="1"/>
  <c r="B37" i="1"/>
  <c r="B42" i="1"/>
</calcChain>
</file>

<file path=xl/sharedStrings.xml><?xml version="1.0" encoding="utf-8"?>
<sst xmlns="http://schemas.openxmlformats.org/spreadsheetml/2006/main" count="70" uniqueCount="64">
  <si>
    <t>מחשבון רווחיות — DentalCompare</t>
  </si>
  <si>
    <t>שנה רק את הערכים הכחולים. כל השאר מחושב אוטומטית.</t>
  </si>
  <si>
    <t>📥 קלט — פרמטרים</t>
  </si>
  <si>
    <t>מספר מרפאות</t>
  </si>
  <si>
    <t>מחיר חודשי למרפאה</t>
  </si>
  <si>
    <t>מע"מ</t>
  </si>
  <si>
    <t>תקציב פרסום ממומן חודשי</t>
  </si>
  <si>
    <t>עלות תשתית חודשית (hosting+DB+דומיין+מייל)</t>
  </si>
  <si>
    <t>PayPlus — עלות חשבוניות (עד 100 מסמכים)</t>
  </si>
  <si>
    <t>Invoice4U כולל 100 מסמכים בבסיס — בלי תוספת</t>
  </si>
  <si>
    <t>💳 הנחות ספקי סליקה</t>
  </si>
  <si>
    <t>Invoice4U — עמלת סליקה</t>
  </si>
  <si>
    <t>מדרגות Invoice4U: עד 100=55, עד 200=67, עד 500=102</t>
  </si>
  <si>
    <t>PayPlus — תשלום חודשי קבוע</t>
  </si>
  <si>
    <t>PayPlus — דמי הקמה (חד פעמי)</t>
  </si>
  <si>
    <t>📊 הכנסות</t>
  </si>
  <si>
    <t>הכנסה חודשית</t>
  </si>
  <si>
    <t>הכנסה שנתית</t>
  </si>
  <si>
    <t>נפח מחויב בכרטיס (כולל מע"מ)</t>
  </si>
  <si>
    <t>💳 השוואת עלות סליקה</t>
  </si>
  <si>
    <t>רכיב</t>
  </si>
  <si>
    <t>Invoice4U</t>
  </si>
  <si>
    <t>PayPlus</t>
  </si>
  <si>
    <t>בסיס / קבוע חודשי</t>
  </si>
  <si>
    <t>עמלת סליקה</t>
  </si>
  <si>
    <t>סה"כ סליקה חודשי</t>
  </si>
  <si>
    <t>💰 רווחיות חודשית לפי ספק</t>
  </si>
  <si>
    <t>הכנסה</t>
  </si>
  <si>
    <t>(−) עלות סליקה</t>
  </si>
  <si>
    <t>(−) תשתית</t>
  </si>
  <si>
    <t>(−) חשבוניות</t>
  </si>
  <si>
    <t>Invoice4U: חשבוניות כלולות בבסיס</t>
  </si>
  <si>
    <t>(−) פרסום ממומן</t>
  </si>
  <si>
    <t>סה"כ עלויות</t>
  </si>
  <si>
    <t>רווח חודשי</t>
  </si>
  <si>
    <t>רווח שנתי</t>
  </si>
  <si>
    <t>שולי רווח</t>
  </si>
  <si>
    <t>✅ המלצה</t>
  </si>
  <si>
    <t>ספק מומלץ (הרווחי יותר)</t>
  </si>
  <si>
    <t>רווח חודשי מקסימלי</t>
  </si>
  <si>
    <t>רווח שנתי מקסימלי</t>
  </si>
  <si>
    <t>⚖️ נקודת איזון (תרחיש PayPlus)</t>
  </si>
  <si>
    <t>הוצאות קבועות חודשיות</t>
  </si>
  <si>
    <t>מעבר למספר זה — כל מרפאה היא רווח נקי</t>
  </si>
  <si>
    <t>מרפאות נדרשות לכיסוי ההוצאות</t>
  </si>
  <si>
    <t>ℹ️ הערה על מע"מ</t>
  </si>
  <si>
    <t>כל הסכומים נטו (ללא מע"מ). מחירי PayPlus ו-Invoice4U הם +מע"מ, אך כעוסק מורשה אתה מקזז את מע"מ התשומות — ולכן העלות הכלכלית האמיתית היא הסכום ללא מע"מ (כפי שמוצג). מבחינת תזרים בלבד: תשלם את המע"מ מראש ותקבל אותו בחזרה.</t>
  </si>
  <si>
    <t>תרחישים לפי מספר מרפאות</t>
  </si>
  <si>
    <t>מבוסס על המחיר והעלויות מגיליון 'מחשבון'. משווה רווח חודשי בין הספקים.</t>
  </si>
  <si>
    <t>מרפאות</t>
  </si>
  <si>
    <t>רווח PayPlus</t>
  </si>
  <si>
    <t>רווח Invoice4U</t>
  </si>
  <si>
    <t>ספק זול יותר</t>
  </si>
  <si>
    <t>רווח שנתי (מיטבי)</t>
  </si>
  <si>
    <t>🔵 כחול = ערך שניתן לשנות   |   PayPlus מוגבל ל-1,000 עסקאות/חודש בתעריף הקבוע</t>
  </si>
  <si>
    <t>שנה ראשונה — הצטרפות הדרגתית ותזרים מצטבר (PayPlus)</t>
  </si>
  <si>
    <t>שנה את 'מרפאות חדשות' (כחול) לפי קצב הגיוס הצפוי. הסכום בשורת הסיכום הוא סך המצטרפות בשנה.</t>
  </si>
  <si>
    <t>חודש</t>
  </si>
  <si>
    <t>מרפאות חדשות</t>
  </si>
  <si>
    <t>מרפאות פעילות</t>
  </si>
  <si>
    <t>עלויות חודשיות</t>
  </si>
  <si>
    <t>תזרים מצטבר</t>
  </si>
  <si>
    <t>סה"כ</t>
  </si>
  <si>
    <t>כל הסכומים נטו (ללא מע"מ). דמי הקמה (250) נכללים בעלויות חודש 1. תזרים מצטבר = רווח מצטבר מתחילת השנה.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</si>
</sst>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\₪"/>
    <numFmt numFmtId="165" formatCode="0.0%"/>
    <numFmt numFmtId="166" formatCode="#,##0\ \₪;\(#,##0\)\ \₪;\-"/>
  </numFmts>
  <fonts count="9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i/>
      <sz val="11"/>
      <color rgb="FF808080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0000FF"/>
      <name val="Arial"/>
    </font>
    <font>
      <i/>
      <sz val="9"/>
      <color rgb="FF808080"/>
      <name val="Arial"/>
    </font>
    <font>
      <b/>
      <sz val="11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center"/>
    </xf>
    <xf numFmtId="0" fontId="8" fillId="5" borderId="0" xfId="0" applyFont="1" applyFill="1" applyAlignment="1">
      <alignment horizontal="righ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rightToLeft="1" workbookViewId="0">
      <selection activeCell="A46" sqref="A46"/>
    </sheetView>
  </sheetViews>
  <sheetFormatPr defaultRowHeight="14.25" x14ac:dyDescent="0.2"/>
  <cols>
    <col min="1" max="1" width="36.875" bestFit="1" customWidth="1"/>
    <col min="2" max="3" width="16" customWidth="1"/>
    <col min="4" max="4" width="24" customWidth="1"/>
  </cols>
  <sheetData>
    <row r="1" spans="1:4" ht="30" customHeight="1" x14ac:dyDescent="0.2">
      <c r="A1" s="28" t="s">
        <v>0</v>
      </c>
      <c r="B1" s="29"/>
      <c r="C1" s="29"/>
      <c r="D1" s="29"/>
    </row>
    <row r="2" spans="1:4" x14ac:dyDescent="0.2">
      <c r="A2" s="31" t="s">
        <v>1</v>
      </c>
      <c r="B2" s="29"/>
      <c r="C2" s="29"/>
      <c r="D2" s="29"/>
    </row>
    <row r="3" spans="1:4" ht="15" x14ac:dyDescent="0.2">
      <c r="A3" s="30" t="s">
        <v>2</v>
      </c>
      <c r="B3" s="29"/>
      <c r="C3" s="29"/>
      <c r="D3" s="29"/>
    </row>
    <row r="4" spans="1:4" ht="15" x14ac:dyDescent="0.2">
      <c r="A4" s="1" t="s">
        <v>3</v>
      </c>
      <c r="B4" s="2">
        <v>100</v>
      </c>
    </row>
    <row r="5" spans="1:4" ht="15" x14ac:dyDescent="0.2">
      <c r="A5" s="1" t="s">
        <v>4</v>
      </c>
      <c r="B5" s="3">
        <v>199</v>
      </c>
    </row>
    <row r="6" spans="1:4" ht="15" x14ac:dyDescent="0.2">
      <c r="A6" s="1" t="s">
        <v>5</v>
      </c>
      <c r="B6" s="4">
        <v>0.18</v>
      </c>
    </row>
    <row r="7" spans="1:4" ht="15" x14ac:dyDescent="0.2">
      <c r="A7" s="1" t="s">
        <v>6</v>
      </c>
      <c r="B7" s="3">
        <v>2000</v>
      </c>
    </row>
    <row r="8" spans="1:4" ht="15" x14ac:dyDescent="0.2">
      <c r="A8" s="1" t="s">
        <v>7</v>
      </c>
      <c r="B8" s="3">
        <v>200</v>
      </c>
    </row>
    <row r="9" spans="1:4" ht="15" x14ac:dyDescent="0.2">
      <c r="A9" s="1" t="s">
        <v>8</v>
      </c>
      <c r="B9" s="3">
        <v>30</v>
      </c>
      <c r="D9" s="5" t="s">
        <v>9</v>
      </c>
    </row>
    <row r="11" spans="1:4" ht="15" x14ac:dyDescent="0.2">
      <c r="A11" s="30" t="s">
        <v>10</v>
      </c>
      <c r="B11" s="29"/>
      <c r="C11" s="29"/>
      <c r="D11" s="29"/>
    </row>
    <row r="12" spans="1:4" ht="15" x14ac:dyDescent="0.2">
      <c r="A12" s="1" t="s">
        <v>11</v>
      </c>
      <c r="B12" s="4">
        <v>8.9999999999999993E-3</v>
      </c>
      <c r="D12" s="5" t="s">
        <v>12</v>
      </c>
    </row>
    <row r="13" spans="1:4" ht="15" x14ac:dyDescent="0.2">
      <c r="A13" s="1" t="s">
        <v>13</v>
      </c>
      <c r="B13" s="3">
        <v>193.9</v>
      </c>
    </row>
    <row r="14" spans="1:4" ht="15" x14ac:dyDescent="0.2">
      <c r="A14" s="1" t="s">
        <v>14</v>
      </c>
      <c r="B14" s="3">
        <v>250</v>
      </c>
    </row>
    <row r="16" spans="1:4" ht="15" x14ac:dyDescent="0.2">
      <c r="A16" s="30" t="s">
        <v>15</v>
      </c>
      <c r="B16" s="29"/>
      <c r="C16" s="29"/>
      <c r="D16" s="29"/>
    </row>
    <row r="17" spans="1:4" ht="15" x14ac:dyDescent="0.2">
      <c r="A17" s="1" t="s">
        <v>16</v>
      </c>
      <c r="B17" s="6">
        <f>B4*B5</f>
        <v>19900</v>
      </c>
    </row>
    <row r="18" spans="1:4" x14ac:dyDescent="0.2">
      <c r="A18" s="1" t="s">
        <v>17</v>
      </c>
      <c r="B18" s="7">
        <f>B17*12</f>
        <v>238800</v>
      </c>
    </row>
    <row r="19" spans="1:4" x14ac:dyDescent="0.2">
      <c r="A19" s="1" t="s">
        <v>18</v>
      </c>
      <c r="B19" s="7">
        <f>B4*B5*(1+B6)</f>
        <v>23482</v>
      </c>
    </row>
    <row r="21" spans="1:4" ht="15" x14ac:dyDescent="0.2">
      <c r="A21" s="30" t="s">
        <v>19</v>
      </c>
      <c r="B21" s="29"/>
      <c r="C21" s="29"/>
      <c r="D21" s="29"/>
    </row>
    <row r="22" spans="1:4" ht="15" x14ac:dyDescent="0.2">
      <c r="A22" s="8" t="s">
        <v>20</v>
      </c>
      <c r="B22" s="9" t="s">
        <v>21</v>
      </c>
      <c r="C22" s="9" t="s">
        <v>22</v>
      </c>
    </row>
    <row r="23" spans="1:4" x14ac:dyDescent="0.2">
      <c r="A23" s="1" t="s">
        <v>23</v>
      </c>
      <c r="B23" s="7">
        <f>IF(B4&lt;=100,55,IF(B4&lt;=200,67,102))</f>
        <v>55</v>
      </c>
      <c r="C23" s="7">
        <f>B13</f>
        <v>193.9</v>
      </c>
    </row>
    <row r="24" spans="1:4" x14ac:dyDescent="0.2">
      <c r="A24" s="1" t="s">
        <v>24</v>
      </c>
      <c r="B24" s="7">
        <f>B19*B12</f>
        <v>211.33799999999999</v>
      </c>
      <c r="C24" s="7">
        <v>0</v>
      </c>
    </row>
    <row r="25" spans="1:4" ht="15" x14ac:dyDescent="0.2">
      <c r="A25" s="10" t="s">
        <v>25</v>
      </c>
      <c r="B25" s="6">
        <f>B23+B24</f>
        <v>266.33799999999997</v>
      </c>
      <c r="C25" s="6">
        <f>C23+C24</f>
        <v>193.9</v>
      </c>
    </row>
    <row r="27" spans="1:4" ht="15" x14ac:dyDescent="0.2">
      <c r="A27" s="30" t="s">
        <v>26</v>
      </c>
      <c r="B27" s="29"/>
      <c r="C27" s="29"/>
      <c r="D27" s="29"/>
    </row>
    <row r="28" spans="1:4" ht="15" x14ac:dyDescent="0.2">
      <c r="A28" s="11"/>
      <c r="B28" s="9" t="s">
        <v>21</v>
      </c>
      <c r="C28" s="9" t="s">
        <v>22</v>
      </c>
    </row>
    <row r="29" spans="1:4" x14ac:dyDescent="0.2">
      <c r="A29" s="1" t="s">
        <v>27</v>
      </c>
      <c r="B29" s="7">
        <f>B17</f>
        <v>19900</v>
      </c>
      <c r="C29" s="7">
        <f>B17</f>
        <v>19900</v>
      </c>
    </row>
    <row r="30" spans="1:4" x14ac:dyDescent="0.2">
      <c r="A30" s="1" t="s">
        <v>28</v>
      </c>
      <c r="B30" s="7">
        <f>B25</f>
        <v>266.33799999999997</v>
      </c>
      <c r="C30" s="7">
        <f>C25</f>
        <v>193.9</v>
      </c>
    </row>
    <row r="31" spans="1:4" x14ac:dyDescent="0.2">
      <c r="A31" s="1" t="s">
        <v>29</v>
      </c>
      <c r="B31" s="7">
        <f>B8</f>
        <v>200</v>
      </c>
      <c r="C31" s="7">
        <f>B8</f>
        <v>200</v>
      </c>
    </row>
    <row r="32" spans="1:4" x14ac:dyDescent="0.2">
      <c r="A32" s="1" t="s">
        <v>30</v>
      </c>
      <c r="B32" s="7">
        <v>0</v>
      </c>
      <c r="C32" s="7">
        <f>B9</f>
        <v>30</v>
      </c>
      <c r="D32" s="5" t="s">
        <v>31</v>
      </c>
    </row>
    <row r="33" spans="1:4" x14ac:dyDescent="0.2">
      <c r="A33" s="1" t="s">
        <v>32</v>
      </c>
      <c r="B33" s="7">
        <f>B7</f>
        <v>2000</v>
      </c>
      <c r="C33" s="7">
        <f>B7</f>
        <v>2000</v>
      </c>
    </row>
    <row r="34" spans="1:4" ht="15" x14ac:dyDescent="0.2">
      <c r="A34" s="10" t="s">
        <v>33</v>
      </c>
      <c r="B34" s="12">
        <f>SUM(B30:B33)</f>
        <v>2466.3379999999997</v>
      </c>
      <c r="C34" s="12">
        <f>SUM(C30:C33)</f>
        <v>2423.9</v>
      </c>
    </row>
    <row r="35" spans="1:4" ht="15" x14ac:dyDescent="0.2">
      <c r="A35" s="13" t="s">
        <v>34</v>
      </c>
      <c r="B35" s="14">
        <f>B29-B34</f>
        <v>17433.662</v>
      </c>
      <c r="C35" s="14">
        <f>C29-C34</f>
        <v>17476.099999999999</v>
      </c>
    </row>
    <row r="36" spans="1:4" ht="15" x14ac:dyDescent="0.2">
      <c r="A36" s="10" t="s">
        <v>35</v>
      </c>
      <c r="B36" s="12">
        <f>B35*12</f>
        <v>209203.94400000002</v>
      </c>
      <c r="C36" s="12">
        <f>C35*12</f>
        <v>209713.19999999998</v>
      </c>
    </row>
    <row r="37" spans="1:4" ht="15" x14ac:dyDescent="0.2">
      <c r="A37" s="10" t="s">
        <v>36</v>
      </c>
      <c r="B37" s="15">
        <f>B35/B29</f>
        <v>0.87606341708542712</v>
      </c>
      <c r="C37" s="15">
        <f>C35/C29</f>
        <v>0.87819597989949738</v>
      </c>
    </row>
    <row r="39" spans="1:4" ht="15" x14ac:dyDescent="0.2">
      <c r="A39" s="30" t="s">
        <v>37</v>
      </c>
      <c r="B39" s="29"/>
      <c r="C39" s="29"/>
      <c r="D39" s="29"/>
    </row>
    <row r="40" spans="1:4" ht="15" x14ac:dyDescent="0.2">
      <c r="A40" s="1" t="s">
        <v>38</v>
      </c>
      <c r="B40" s="16" t="str">
        <f>IF(B35&gt;=C35,"Invoice4U","PayPlus")</f>
        <v>PayPlus</v>
      </c>
    </row>
    <row r="41" spans="1:4" ht="15" x14ac:dyDescent="0.2">
      <c r="A41" s="1" t="s">
        <v>39</v>
      </c>
      <c r="B41" s="14">
        <f>MAX(B35,C35)</f>
        <v>17476.099999999999</v>
      </c>
    </row>
    <row r="42" spans="1:4" ht="15" x14ac:dyDescent="0.2">
      <c r="A42" s="1" t="s">
        <v>40</v>
      </c>
      <c r="B42" s="14">
        <f>MAX(B36,C36)</f>
        <v>209713.19999999998</v>
      </c>
    </row>
    <row r="44" spans="1:4" ht="15" x14ac:dyDescent="0.2">
      <c r="A44" s="30" t="s">
        <v>41</v>
      </c>
      <c r="B44" s="29"/>
      <c r="C44" s="29"/>
      <c r="D44" s="29"/>
    </row>
    <row r="45" spans="1:4" x14ac:dyDescent="0.2">
      <c r="A45" s="1" t="s">
        <v>42</v>
      </c>
      <c r="B45" s="7">
        <f>B13+B7+B8+B9</f>
        <v>2423.9</v>
      </c>
      <c r="D45" s="5" t="s">
        <v>43</v>
      </c>
    </row>
    <row r="46" spans="1:4" ht="15" x14ac:dyDescent="0.2">
      <c r="A46" s="1" t="s">
        <v>44</v>
      </c>
      <c r="B46" s="17">
        <f>ROUNDUP(B45/B5,0)</f>
        <v>13</v>
      </c>
    </row>
    <row r="48" spans="1:4" ht="15" x14ac:dyDescent="0.2">
      <c r="A48" s="30" t="s">
        <v>45</v>
      </c>
      <c r="B48" s="29"/>
      <c r="C48" s="29"/>
      <c r="D48" s="29"/>
    </row>
    <row r="49" spans="1:4" ht="39.950000000000003" customHeight="1" x14ac:dyDescent="0.2">
      <c r="A49" s="32" t="s">
        <v>46</v>
      </c>
      <c r="B49" s="29"/>
      <c r="C49" s="29"/>
      <c r="D49" s="29"/>
    </row>
    <row r="50" spans="1:4" x14ac:dyDescent="0.2">
      <c r="A50" s="29"/>
      <c r="B50" s="29"/>
      <c r="C50" s="29"/>
      <c r="D50" s="29"/>
    </row>
  </sheetData>
  <mergeCells count="11">
    <mergeCell ref="A49:D50"/>
    <mergeCell ref="A44:D44"/>
    <mergeCell ref="A1:D1"/>
    <mergeCell ref="A27:D27"/>
    <mergeCell ref="A11:D11"/>
    <mergeCell ref="A48:D48"/>
    <mergeCell ref="A3:D3"/>
    <mergeCell ref="A21:D21"/>
    <mergeCell ref="A39:D39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rightToLeft="1" workbookViewId="0">
      <selection activeCell="B18" sqref="B18"/>
    </sheetView>
  </sheetViews>
  <sheetFormatPr defaultRowHeight="14.25" x14ac:dyDescent="0.2"/>
  <cols>
    <col min="1" max="1" width="14" customWidth="1"/>
    <col min="2" max="4" width="18" customWidth="1"/>
    <col min="5" max="6" width="16" customWidth="1"/>
    <col min="7" max="7" width="14" customWidth="1"/>
  </cols>
  <sheetData>
    <row r="1" spans="1:7" ht="27.95" customHeight="1" x14ac:dyDescent="0.2">
      <c r="A1" s="28" t="s">
        <v>47</v>
      </c>
      <c r="B1" s="29"/>
      <c r="C1" s="29"/>
      <c r="D1" s="29"/>
      <c r="E1" s="29"/>
      <c r="F1" s="29"/>
      <c r="G1" s="29"/>
    </row>
    <row r="2" spans="1:7" x14ac:dyDescent="0.2">
      <c r="A2" s="31" t="s">
        <v>48</v>
      </c>
      <c r="B2" s="29"/>
      <c r="C2" s="29"/>
      <c r="D2" s="29"/>
      <c r="E2" s="29"/>
      <c r="F2" s="29"/>
      <c r="G2" s="29"/>
    </row>
    <row r="3" spans="1:7" ht="15" x14ac:dyDescent="0.2">
      <c r="A3" s="18" t="s">
        <v>49</v>
      </c>
      <c r="B3" s="18" t="s">
        <v>16</v>
      </c>
      <c r="C3" s="18" t="s">
        <v>50</v>
      </c>
      <c r="D3" s="18" t="s">
        <v>51</v>
      </c>
      <c r="E3" s="18" t="s">
        <v>52</v>
      </c>
      <c r="F3" s="18" t="s">
        <v>53</v>
      </c>
      <c r="G3" s="18" t="s">
        <v>36</v>
      </c>
    </row>
    <row r="4" spans="1:7" ht="15" x14ac:dyDescent="0.25">
      <c r="A4" s="19">
        <v>8</v>
      </c>
      <c r="B4" s="20">
        <f>A4*מחשבון!$B$5</f>
        <v>1592</v>
      </c>
      <c r="C4" s="20">
        <f>B4-מחשבון!$B$13-(מחשבון!$B$7+מחשבון!$B$8+מחשבון!$B$9)</f>
        <v>-831.90000000000009</v>
      </c>
      <c r="D4" s="20">
        <f>B4-(IF(A4&lt;=100,55,IF(A4&lt;=200,67,102))+A4*מחשבון!$B$5*(1+מחשבון!$B$6)*מחשבון!$B$12)-(מחשבון!$B$7+מחשבון!$B$8)</f>
        <v>-679.90704000000005</v>
      </c>
      <c r="E4" s="21" t="str">
        <f t="shared" ref="E4:E12" si="0">IF(C4&gt;=D4,"PayPlus","Invoice4U")</f>
        <v>Invoice4U</v>
      </c>
      <c r="F4" s="20">
        <f t="shared" ref="F4:F12" si="1">MAX(C4,D4)*12</f>
        <v>-8158.8844800000006</v>
      </c>
      <c r="G4" s="22">
        <f t="shared" ref="G4:G12" si="2">MAX(C4,D4)/B4</f>
        <v>-0.42707728643216086</v>
      </c>
    </row>
    <row r="5" spans="1:7" ht="15" x14ac:dyDescent="0.25">
      <c r="A5" s="19">
        <v>25</v>
      </c>
      <c r="B5" s="20">
        <f>A5*מחשבון!$B$5</f>
        <v>4975</v>
      </c>
      <c r="C5" s="20">
        <f>B5-מחשבון!$B$13-(מחשבון!$B$7+מחשבון!$B$8+מחשבון!$B$9)</f>
        <v>2551.1000000000004</v>
      </c>
      <c r="D5" s="20">
        <f>B5-(IF(A5&lt;=100,55,IF(A5&lt;=200,67,102))+A5*מחשבון!$B$5*(1+מחשבון!$B$6)*מחשבון!$B$12)-(מחשבון!$B$7+מחשבון!$B$8)</f>
        <v>2667.1655000000001</v>
      </c>
      <c r="E5" s="21" t="str">
        <f t="shared" si="0"/>
        <v>Invoice4U</v>
      </c>
      <c r="F5" s="20">
        <f t="shared" si="1"/>
        <v>32005.986000000001</v>
      </c>
      <c r="G5" s="22">
        <f t="shared" si="2"/>
        <v>0.53611366834170859</v>
      </c>
    </row>
    <row r="6" spans="1:7" ht="15" x14ac:dyDescent="0.25">
      <c r="A6" s="19">
        <v>50</v>
      </c>
      <c r="B6" s="20">
        <f>A6*מחשבון!$B$5</f>
        <v>9950</v>
      </c>
      <c r="C6" s="20">
        <f>B6-מחשבון!$B$13-(מחשבון!$B$7+מחשבון!$B$8+מחשבון!$B$9)</f>
        <v>7526.1</v>
      </c>
      <c r="D6" s="20">
        <f>B6-(IF(A6&lt;=100,55,IF(A6&lt;=200,67,102))+A6*מחשבון!$B$5*(1+מחשבון!$B$6)*מחשבון!$B$12)-(מחשבון!$B$7+מחשבון!$B$8)</f>
        <v>7589.3310000000001</v>
      </c>
      <c r="E6" s="21" t="str">
        <f t="shared" si="0"/>
        <v>Invoice4U</v>
      </c>
      <c r="F6" s="20">
        <f t="shared" si="1"/>
        <v>91071.972000000009</v>
      </c>
      <c r="G6" s="22">
        <f t="shared" si="2"/>
        <v>0.76274683417085432</v>
      </c>
    </row>
    <row r="7" spans="1:7" ht="15" x14ac:dyDescent="0.25">
      <c r="A7" s="19">
        <v>75</v>
      </c>
      <c r="B7" s="20">
        <f>A7*מחשבון!$B$5</f>
        <v>14925</v>
      </c>
      <c r="C7" s="20">
        <f>B7-מחשבון!$B$13-(מחשבון!$B$7+מחשבון!$B$8+מחשבון!$B$9)</f>
        <v>12501.1</v>
      </c>
      <c r="D7" s="20">
        <f>B7-(IF(A7&lt;=100,55,IF(A7&lt;=200,67,102))+A7*מחשבון!$B$5*(1+מחשבון!$B$6)*מחשבון!$B$12)-(מחשבון!$B$7+מחשבון!$B$8)</f>
        <v>12511.496499999999</v>
      </c>
      <c r="E7" s="21" t="str">
        <f t="shared" si="0"/>
        <v>Invoice4U</v>
      </c>
      <c r="F7" s="20">
        <f t="shared" si="1"/>
        <v>150137.95799999998</v>
      </c>
      <c r="G7" s="22">
        <f t="shared" si="2"/>
        <v>0.83829122278056944</v>
      </c>
    </row>
    <row r="8" spans="1:7" ht="15" x14ac:dyDescent="0.25">
      <c r="A8" s="19">
        <v>100</v>
      </c>
      <c r="B8" s="20">
        <f>A8*מחשבון!$B$5</f>
        <v>19900</v>
      </c>
      <c r="C8" s="20">
        <f>B8-מחשבון!$B$13-(מחשבון!$B$7+מחשבון!$B$8+מחשבון!$B$9)</f>
        <v>17476.099999999999</v>
      </c>
      <c r="D8" s="20">
        <f>B8-(IF(A8&lt;=100,55,IF(A8&lt;=200,67,102))+A8*מחשבון!$B$5*(1+מחשבון!$B$6)*מחשבון!$B$12)-(מחשבון!$B$7+מחשבון!$B$8)</f>
        <v>17433.662</v>
      </c>
      <c r="E8" s="21" t="str">
        <f t="shared" si="0"/>
        <v>PayPlus</v>
      </c>
      <c r="F8" s="20">
        <f t="shared" si="1"/>
        <v>209713.19999999998</v>
      </c>
      <c r="G8" s="22">
        <f t="shared" si="2"/>
        <v>0.87819597989949738</v>
      </c>
    </row>
    <row r="9" spans="1:7" ht="15" x14ac:dyDescent="0.25">
      <c r="A9" s="19">
        <v>150</v>
      </c>
      <c r="B9" s="20">
        <f>A9*מחשבון!$B$5</f>
        <v>29850</v>
      </c>
      <c r="C9" s="20">
        <f>B9-מחשבון!$B$13-(מחשבון!$B$7+מחשבון!$B$8+מחשבון!$B$9)</f>
        <v>27426.1</v>
      </c>
      <c r="D9" s="20">
        <f>B9-(IF(A9&lt;=100,55,IF(A9&lt;=200,67,102))+A9*מחשבון!$B$5*(1+מחשבון!$B$6)*מחשבון!$B$12)-(מחשבון!$B$7+מחשבון!$B$8)</f>
        <v>27265.992999999999</v>
      </c>
      <c r="E9" s="21" t="str">
        <f t="shared" si="0"/>
        <v>PayPlus</v>
      </c>
      <c r="F9" s="20">
        <f t="shared" si="1"/>
        <v>329113.19999999995</v>
      </c>
      <c r="G9" s="22">
        <f t="shared" si="2"/>
        <v>0.91879731993299829</v>
      </c>
    </row>
    <row r="10" spans="1:7" ht="15" x14ac:dyDescent="0.25">
      <c r="A10" s="19">
        <v>200</v>
      </c>
      <c r="B10" s="20">
        <f>A10*מחשבון!$B$5</f>
        <v>39800</v>
      </c>
      <c r="C10" s="20">
        <f>B10-מחשבון!$B$13-(מחשבון!$B$7+מחשבון!$B$8+מחשבון!$B$9)</f>
        <v>37376.1</v>
      </c>
      <c r="D10" s="20">
        <f>B10-(IF(A10&lt;=100,55,IF(A10&lt;=200,67,102))+A10*מחשבון!$B$5*(1+מחשבון!$B$6)*מחשבון!$B$12)-(מחשבון!$B$7+מחשבון!$B$8)</f>
        <v>37110.324000000001</v>
      </c>
      <c r="E10" s="21" t="str">
        <f t="shared" si="0"/>
        <v>PayPlus</v>
      </c>
      <c r="F10" s="20">
        <f t="shared" si="1"/>
        <v>448513.19999999995</v>
      </c>
      <c r="G10" s="22">
        <f t="shared" si="2"/>
        <v>0.93909798994974869</v>
      </c>
    </row>
    <row r="11" spans="1:7" ht="15" x14ac:dyDescent="0.25">
      <c r="A11" s="19">
        <v>300</v>
      </c>
      <c r="B11" s="20">
        <f>A11*מחשבון!$B$5</f>
        <v>59700</v>
      </c>
      <c r="C11" s="20">
        <f>B11-מחשבון!$B$13-(מחשבון!$B$7+מחשבון!$B$8+מחשבון!$B$9)</f>
        <v>57276.1</v>
      </c>
      <c r="D11" s="20">
        <f>B11-(IF(A11&lt;=100,55,IF(A11&lt;=200,67,102))+A11*מחשבון!$B$5*(1+מחשבון!$B$6)*מחשבון!$B$12)-(מחשבון!$B$7+מחשבון!$B$8)</f>
        <v>56763.985999999997</v>
      </c>
      <c r="E11" s="21" t="str">
        <f t="shared" si="0"/>
        <v>PayPlus</v>
      </c>
      <c r="F11" s="20">
        <f t="shared" si="1"/>
        <v>687313.2</v>
      </c>
      <c r="G11" s="22">
        <f t="shared" si="2"/>
        <v>0.95939865996649909</v>
      </c>
    </row>
    <row r="12" spans="1:7" ht="15" x14ac:dyDescent="0.25">
      <c r="A12" s="19">
        <v>500</v>
      </c>
      <c r="B12" s="20">
        <f>A12*מחשבון!$B$5</f>
        <v>99500</v>
      </c>
      <c r="C12" s="20">
        <f>B12-מחשבון!$B$13-(מחשבון!$B$7+מחשבון!$B$8+מחשבון!$B$9)</f>
        <v>97076.1</v>
      </c>
      <c r="D12" s="20">
        <f>B12-(IF(A12&lt;=100,55,IF(A12&lt;=200,67,102))+A12*מחשבון!$B$5*(1+מחשבון!$B$6)*מחשבון!$B$12)-(מחשבון!$B$7+מחשבון!$B$8)</f>
        <v>96141.31</v>
      </c>
      <c r="E12" s="21" t="str">
        <f t="shared" si="0"/>
        <v>PayPlus</v>
      </c>
      <c r="F12" s="20">
        <f t="shared" si="1"/>
        <v>1164913.2000000002</v>
      </c>
      <c r="G12" s="22">
        <f t="shared" si="2"/>
        <v>0.97563919597989957</v>
      </c>
    </row>
    <row r="14" spans="1:7" x14ac:dyDescent="0.2">
      <c r="A14" s="33" t="s">
        <v>54</v>
      </c>
      <c r="B14" s="29"/>
      <c r="C14" s="29"/>
      <c r="D14" s="29"/>
      <c r="E14" s="29"/>
      <c r="F14" s="29"/>
      <c r="G14" s="29"/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rightToLeft="1" tabSelected="1" workbookViewId="0">
      <selection activeCell="G19" sqref="G19"/>
    </sheetView>
  </sheetViews>
  <sheetFormatPr defaultRowHeight="14.25" x14ac:dyDescent="0.2"/>
  <cols>
    <col min="1" max="1" width="10" customWidth="1"/>
    <col min="2" max="3" width="16" customWidth="1"/>
    <col min="4" max="6" width="18" customWidth="1"/>
    <col min="7" max="7" width="20" customWidth="1"/>
  </cols>
  <sheetData>
    <row r="1" spans="1:7" ht="27.95" customHeight="1" x14ac:dyDescent="0.2">
      <c r="A1" s="28" t="s">
        <v>55</v>
      </c>
      <c r="B1" s="29"/>
      <c r="C1" s="29"/>
      <c r="D1" s="29"/>
      <c r="E1" s="29"/>
      <c r="F1" s="29"/>
      <c r="G1" s="29"/>
    </row>
    <row r="2" spans="1:7" x14ac:dyDescent="0.2">
      <c r="A2" s="31" t="s">
        <v>56</v>
      </c>
      <c r="B2" s="29"/>
      <c r="C2" s="29"/>
      <c r="D2" s="29"/>
      <c r="E2" s="29"/>
      <c r="F2" s="29"/>
      <c r="G2" s="29"/>
    </row>
    <row r="3" spans="1:7" ht="15" x14ac:dyDescent="0.2">
      <c r="A3" s="18" t="s">
        <v>57</v>
      </c>
      <c r="B3" s="18" t="s">
        <v>58</v>
      </c>
      <c r="C3" s="18" t="s">
        <v>59</v>
      </c>
      <c r="D3" s="18" t="s">
        <v>16</v>
      </c>
      <c r="E3" s="18" t="s">
        <v>60</v>
      </c>
      <c r="F3" s="18" t="s">
        <v>34</v>
      </c>
      <c r="G3" s="18" t="s">
        <v>61</v>
      </c>
    </row>
    <row r="4" spans="1:7" ht="15" x14ac:dyDescent="0.25">
      <c r="A4" s="23">
        <v>1</v>
      </c>
      <c r="B4" s="19">
        <v>4</v>
      </c>
      <c r="C4" s="24">
        <f>SUM($B$4:B4)</f>
        <v>4</v>
      </c>
      <c r="D4" s="20">
        <f>C4*מחשבון!$B$5</f>
        <v>796</v>
      </c>
      <c r="E4" s="20">
        <f>מחשבון!$B$13+מחשבון!$B$9+מחשבון!$B$8+מחשבון!$B$7+מחשבון!$B$14</f>
        <v>2673.9</v>
      </c>
      <c r="F4" s="20">
        <f t="shared" ref="F4:F15" si="0">D4-E4</f>
        <v>-1877.9</v>
      </c>
      <c r="G4" s="20">
        <f>SUM($F$4:F4)</f>
        <v>-1877.9</v>
      </c>
    </row>
    <row r="5" spans="1:7" ht="15" x14ac:dyDescent="0.25">
      <c r="A5" s="23">
        <v>2</v>
      </c>
      <c r="B5" s="19">
        <v>5</v>
      </c>
      <c r="C5" s="24">
        <f>SUM($B$4:B5)</f>
        <v>9</v>
      </c>
      <c r="D5" s="20">
        <f>C5*מחשבון!$B$5</f>
        <v>1791</v>
      </c>
      <c r="E5" s="20">
        <f>מחשבון!$B$13+מחשבון!$B$9+מחשבון!$B$8+מחשבון!$B$7</f>
        <v>2423.9</v>
      </c>
      <c r="F5" s="20">
        <f t="shared" si="0"/>
        <v>-632.90000000000009</v>
      </c>
      <c r="G5" s="20">
        <f>SUM($F$4:F5)</f>
        <v>-2510.8000000000002</v>
      </c>
    </row>
    <row r="6" spans="1:7" ht="15" x14ac:dyDescent="0.25">
      <c r="A6" s="23">
        <v>3</v>
      </c>
      <c r="B6" s="19">
        <v>6</v>
      </c>
      <c r="C6" s="24">
        <f>SUM($B$4:B6)</f>
        <v>15</v>
      </c>
      <c r="D6" s="20">
        <f>C6*מחשבון!$B$5</f>
        <v>2985</v>
      </c>
      <c r="E6" s="20">
        <f>מחשבון!$B$13+מחשבון!$B$9+מחשבון!$B$8+מחשבון!$B$7</f>
        <v>2423.9</v>
      </c>
      <c r="F6" s="20">
        <f t="shared" si="0"/>
        <v>561.09999999999991</v>
      </c>
      <c r="G6" s="20">
        <f>SUM($F$4:F6)</f>
        <v>-1949.7000000000003</v>
      </c>
    </row>
    <row r="7" spans="1:7" ht="15" x14ac:dyDescent="0.25">
      <c r="A7" s="23">
        <v>4</v>
      </c>
      <c r="B7" s="19">
        <v>7</v>
      </c>
      <c r="C7" s="24">
        <f>SUM($B$4:B7)</f>
        <v>22</v>
      </c>
      <c r="D7" s="20">
        <f>C7*מחשבון!$B$5</f>
        <v>4378</v>
      </c>
      <c r="E7" s="20">
        <f>מחשבון!$B$13+מחשבון!$B$9+מחשבון!$B$8+מחשבון!$B$7</f>
        <v>2423.9</v>
      </c>
      <c r="F7" s="20">
        <f t="shared" si="0"/>
        <v>1954.1</v>
      </c>
      <c r="G7" s="20">
        <f>SUM($F$4:F7)</f>
        <v>4.3999999999996362</v>
      </c>
    </row>
    <row r="8" spans="1:7" ht="15" x14ac:dyDescent="0.25">
      <c r="A8" s="23">
        <v>5</v>
      </c>
      <c r="B8" s="19">
        <v>8</v>
      </c>
      <c r="C8" s="24">
        <f>SUM($B$4:B8)</f>
        <v>30</v>
      </c>
      <c r="D8" s="20">
        <f>C8*מחשבון!$B$5</f>
        <v>5970</v>
      </c>
      <c r="E8" s="20">
        <f>מחשבון!$B$13+מחשבון!$B$9+מחשבון!$B$8+מחשבון!$B$7</f>
        <v>2423.9</v>
      </c>
      <c r="F8" s="20">
        <f t="shared" si="0"/>
        <v>3546.1</v>
      </c>
      <c r="G8" s="20">
        <f>SUM($F$4:F8)</f>
        <v>3550.4999999999995</v>
      </c>
    </row>
    <row r="9" spans="1:7" ht="15" x14ac:dyDescent="0.25">
      <c r="A9" s="23">
        <v>6</v>
      </c>
      <c r="B9" s="19">
        <v>9</v>
      </c>
      <c r="C9" s="24">
        <f>SUM($B$4:B9)</f>
        <v>39</v>
      </c>
      <c r="D9" s="20">
        <f>C9*מחשבון!$B$5</f>
        <v>7761</v>
      </c>
      <c r="E9" s="20">
        <f>מחשבון!$B$13+מחשבון!$B$9+מחשבון!$B$8+מחשבון!$B$7</f>
        <v>2423.9</v>
      </c>
      <c r="F9" s="20">
        <f t="shared" si="0"/>
        <v>5337.1</v>
      </c>
      <c r="G9" s="20">
        <f>SUM($F$4:F9)</f>
        <v>8887.6</v>
      </c>
    </row>
    <row r="10" spans="1:7" ht="15" x14ac:dyDescent="0.25">
      <c r="A10" s="23">
        <v>7</v>
      </c>
      <c r="B10" s="19">
        <v>9</v>
      </c>
      <c r="C10" s="24">
        <f>SUM($B$4:B10)</f>
        <v>48</v>
      </c>
      <c r="D10" s="20">
        <f>C10*מחשבון!$B$5</f>
        <v>9552</v>
      </c>
      <c r="E10" s="20">
        <f>מחשבון!$B$13+מחשבון!$B$9+מחשבון!$B$8+מחשבון!$B$7</f>
        <v>2423.9</v>
      </c>
      <c r="F10" s="20">
        <f t="shared" si="0"/>
        <v>7128.1</v>
      </c>
      <c r="G10" s="20">
        <f>SUM($F$4:F10)</f>
        <v>16015.7</v>
      </c>
    </row>
    <row r="11" spans="1:7" ht="15" x14ac:dyDescent="0.25">
      <c r="A11" s="23">
        <v>8</v>
      </c>
      <c r="B11" s="19">
        <v>10</v>
      </c>
      <c r="C11" s="24">
        <f>SUM($B$4:B11)</f>
        <v>58</v>
      </c>
      <c r="D11" s="20">
        <f>C11*מחשבון!$B$5</f>
        <v>11542</v>
      </c>
      <c r="E11" s="20">
        <f>מחשבון!$B$13+מחשבון!$B$9+מחשבון!$B$8+מחשבון!$B$7</f>
        <v>2423.9</v>
      </c>
      <c r="F11" s="20">
        <f t="shared" si="0"/>
        <v>9118.1</v>
      </c>
      <c r="G11" s="20">
        <f>SUM($F$4:F11)</f>
        <v>25133.800000000003</v>
      </c>
    </row>
    <row r="12" spans="1:7" ht="15" x14ac:dyDescent="0.25">
      <c r="A12" s="23">
        <v>9</v>
      </c>
      <c r="B12" s="19">
        <v>10</v>
      </c>
      <c r="C12" s="24">
        <f>SUM($B$4:B12)</f>
        <v>68</v>
      </c>
      <c r="D12" s="20">
        <f>C12*מחשבון!$B$5</f>
        <v>13532</v>
      </c>
      <c r="E12" s="20">
        <f>מחשבון!$B$13+מחשבון!$B$9+מחשבון!$B$8+מחשבון!$B$7</f>
        <v>2423.9</v>
      </c>
      <c r="F12" s="20">
        <f t="shared" si="0"/>
        <v>11108.1</v>
      </c>
      <c r="G12" s="20">
        <f>SUM($F$4:F12)</f>
        <v>36241.9</v>
      </c>
    </row>
    <row r="13" spans="1:7" ht="15" x14ac:dyDescent="0.25">
      <c r="A13" s="23">
        <v>10</v>
      </c>
      <c r="B13" s="19">
        <v>10</v>
      </c>
      <c r="C13" s="24">
        <f>SUM($B$4:B13)</f>
        <v>78</v>
      </c>
      <c r="D13" s="20">
        <f>C13*מחשבון!$B$5</f>
        <v>15522</v>
      </c>
      <c r="E13" s="20">
        <f>מחשבון!$B$13+מחשבון!$B$9+מחשבון!$B$8+מחשבון!$B$7</f>
        <v>2423.9</v>
      </c>
      <c r="F13" s="20">
        <f t="shared" si="0"/>
        <v>13098.1</v>
      </c>
      <c r="G13" s="20">
        <f>SUM($F$4:F13)</f>
        <v>49340</v>
      </c>
    </row>
    <row r="14" spans="1:7" ht="15" x14ac:dyDescent="0.25">
      <c r="A14" s="23">
        <v>11</v>
      </c>
      <c r="B14" s="19">
        <v>11</v>
      </c>
      <c r="C14" s="24">
        <f>SUM($B$4:B14)</f>
        <v>89</v>
      </c>
      <c r="D14" s="20">
        <f>C14*מחשבון!$B$5</f>
        <v>17711</v>
      </c>
      <c r="E14" s="20">
        <f>מחשבון!$B$13+מחשבון!$B$9+מחשבון!$B$8+מחשבון!$B$7</f>
        <v>2423.9</v>
      </c>
      <c r="F14" s="20">
        <f t="shared" si="0"/>
        <v>15287.1</v>
      </c>
      <c r="G14" s="20">
        <f>SUM($F$4:F14)</f>
        <v>64627.1</v>
      </c>
    </row>
    <row r="15" spans="1:7" ht="15" x14ac:dyDescent="0.25">
      <c r="A15" s="23">
        <v>12</v>
      </c>
      <c r="B15" s="19">
        <v>11</v>
      </c>
      <c r="C15" s="24">
        <f>SUM($B$4:B15)</f>
        <v>100</v>
      </c>
      <c r="D15" s="20">
        <f>C15*מחשבון!$B$5</f>
        <v>19900</v>
      </c>
      <c r="E15" s="20">
        <f>מחשבון!$B$13+מחשבון!$B$9+מחשבון!$B$8+מחשבון!$B$7</f>
        <v>2423.9</v>
      </c>
      <c r="F15" s="20">
        <f t="shared" si="0"/>
        <v>17476.099999999999</v>
      </c>
      <c r="G15" s="20">
        <f>SUM($F$4:F15)</f>
        <v>82103.199999999997</v>
      </c>
    </row>
    <row r="16" spans="1:7" ht="15" x14ac:dyDescent="0.25">
      <c r="A16" s="25" t="s">
        <v>62</v>
      </c>
      <c r="B16" s="26">
        <f>SUM(B4:B15)</f>
        <v>100</v>
      </c>
      <c r="C16" s="26">
        <f>C15</f>
        <v>100</v>
      </c>
      <c r="D16" s="27">
        <f>SUM(D4:D15)</f>
        <v>111440</v>
      </c>
      <c r="E16" s="27">
        <f>SUM(E4:E15)</f>
        <v>29336.800000000007</v>
      </c>
      <c r="F16" s="27">
        <f>SUM(F4:F15)</f>
        <v>82103.199999999997</v>
      </c>
      <c r="G16" s="27">
        <f>G15</f>
        <v>82103.199999999997</v>
      </c>
    </row>
    <row r="18" spans="1:7" x14ac:dyDescent="0.2">
      <c r="A18" s="33" t="s">
        <v>63</v>
      </c>
      <c r="B18" s="29"/>
      <c r="C18" s="29"/>
      <c r="D18" s="29"/>
      <c r="E18" s="29"/>
      <c r="F18" s="29"/>
      <c r="G18" s="29"/>
    </row>
  </sheetData>
  <mergeCells count="3">
    <mergeCell ref="A2:G2"/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מחשבון</vt:lpstr>
      <vt:lpstr>תרחישים</vt:lpstr>
      <vt:lpstr>שנה ראשונה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Eden BUCHRIS</cp:lastModifiedBy>
  <dcterms:created xsi:type="dcterms:W3CDTF">2026-06-28T12:08:08Z</dcterms:created>
  <dcterms:modified xsi:type="dcterms:W3CDTF">2026-07-04T19:12:04Z</dcterms:modified>
</cp:coreProperties>
</file>